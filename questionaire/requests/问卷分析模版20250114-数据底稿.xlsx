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FOF\专题研究\多元资产配置调查问卷\"/>
    </mc:Choice>
  </mc:AlternateContent>
  <xr:revisionPtr revIDLastSave="0" documentId="13_ncr:1_{4E610A04-8774-4281-A7CD-167C22E70F69}" xr6:coauthVersionLast="36" xr6:coauthVersionMax="47" xr10:uidLastSave="{00000000-0000-0000-0000-000000000000}"/>
  <bookViews>
    <workbookView xWindow="-96" yWindow="-96" windowWidth="23592" windowHeight="15072" xr2:uid="{00000000-000D-0000-FFFF-FFFF00000000}"/>
  </bookViews>
  <sheets>
    <sheet name="7.统计" sheetId="15" r:id="rId1"/>
  </sheets>
  <calcPr calcId="191029"/>
</workbook>
</file>

<file path=xl/calcChain.xml><?xml version="1.0" encoding="utf-8"?>
<calcChain xmlns="http://schemas.openxmlformats.org/spreadsheetml/2006/main">
  <c r="AU71" i="15" l="1"/>
  <c r="AA72" i="15"/>
  <c r="AB72" i="15"/>
  <c r="B66" i="15"/>
  <c r="AI74" i="15" s="1"/>
  <c r="B67" i="15"/>
  <c r="P75" i="15" s="1"/>
  <c r="B63" i="15"/>
  <c r="AB71" i="15" s="1"/>
  <c r="B64" i="15"/>
  <c r="I72" i="15" s="1"/>
  <c r="B65" i="15"/>
  <c r="B62" i="15"/>
  <c r="B48" i="15"/>
  <c r="AQ56" i="15" s="1"/>
  <c r="B45" i="15"/>
  <c r="AJ53" i="15" s="1"/>
  <c r="B44" i="15"/>
  <c r="BD52" i="15" s="1"/>
  <c r="O34" i="15"/>
  <c r="B30" i="15"/>
  <c r="F34" i="15" s="1"/>
  <c r="B31" i="15"/>
  <c r="Z74" i="15" l="1"/>
  <c r="AK53" i="15"/>
  <c r="X74" i="15"/>
  <c r="AF72" i="15"/>
  <c r="AM75" i="15"/>
  <c r="AK75" i="15"/>
  <c r="AE72" i="15"/>
  <c r="S71" i="15"/>
  <c r="V34" i="15"/>
  <c r="AI35" i="15"/>
  <c r="AG38" i="15"/>
  <c r="AH38" i="15"/>
  <c r="AH35" i="15"/>
  <c r="AZ34" i="15"/>
  <c r="AY34" i="15"/>
  <c r="P34" i="15"/>
  <c r="AW35" i="15"/>
  <c r="M35" i="15"/>
  <c r="AU35" i="15"/>
  <c r="BA34" i="15"/>
  <c r="Q34" i="15"/>
  <c r="AX34" i="15"/>
  <c r="AL34" i="15"/>
  <c r="AW34" i="15"/>
  <c r="AK34" i="15"/>
  <c r="AV34" i="15"/>
  <c r="AJ34" i="15"/>
  <c r="AU34" i="15"/>
  <c r="AI34" i="15"/>
  <c r="AH34" i="15"/>
  <c r="AG34" i="15"/>
  <c r="U34" i="15"/>
  <c r="AF34" i="15"/>
  <c r="T34" i="15"/>
  <c r="AE34" i="15"/>
  <c r="S34" i="15"/>
  <c r="BB34" i="15"/>
  <c r="R34" i="15"/>
  <c r="AX35" i="15"/>
  <c r="N35" i="15"/>
  <c r="F74" i="15"/>
  <c r="BA74" i="15"/>
  <c r="AW71" i="15"/>
  <c r="AV35" i="15"/>
  <c r="L35" i="15"/>
  <c r="AL75" i="15"/>
  <c r="Y74" i="15"/>
  <c r="AT71" i="15"/>
  <c r="AT35" i="15"/>
  <c r="AJ75" i="15"/>
  <c r="V74" i="15"/>
  <c r="R71" i="15"/>
  <c r="AS35" i="15"/>
  <c r="AG35" i="15"/>
  <c r="AI75" i="15"/>
  <c r="U74" i="15"/>
  <c r="Q71" i="15"/>
  <c r="AR35" i="15"/>
  <c r="AF35" i="15"/>
  <c r="AH75" i="15"/>
  <c r="O71" i="15"/>
  <c r="AE35" i="15"/>
  <c r="S35" i="15"/>
  <c r="AG75" i="15"/>
  <c r="N71" i="15"/>
  <c r="AD35" i="15"/>
  <c r="R35" i="15"/>
  <c r="G75" i="15"/>
  <c r="AC35" i="15"/>
  <c r="Q35" i="15"/>
  <c r="BE74" i="15"/>
  <c r="AB35" i="15"/>
  <c r="P35" i="15"/>
  <c r="BD74" i="15"/>
  <c r="AY71" i="15"/>
  <c r="AY35" i="15"/>
  <c r="O35" i="15"/>
  <c r="F75" i="15"/>
  <c r="BB74" i="15"/>
  <c r="AX71" i="15"/>
  <c r="O70" i="15"/>
  <c r="AU70" i="15"/>
  <c r="P70" i="15"/>
  <c r="AV70" i="15"/>
  <c r="Q70" i="15"/>
  <c r="AW70" i="15"/>
  <c r="R70" i="15"/>
  <c r="AX70" i="15"/>
  <c r="S70" i="15"/>
  <c r="AY70" i="15"/>
  <c r="T70" i="15"/>
  <c r="AZ70" i="15"/>
  <c r="U70" i="15"/>
  <c r="BA70" i="15"/>
  <c r="V70" i="15"/>
  <c r="BB70" i="15"/>
  <c r="AE70" i="15"/>
  <c r="AF70" i="15"/>
  <c r="AG70" i="15"/>
  <c r="AH70" i="15"/>
  <c r="AI70" i="15"/>
  <c r="AJ70" i="15"/>
  <c r="AK70" i="15"/>
  <c r="AL70" i="15"/>
  <c r="F70" i="15"/>
  <c r="AG52" i="15"/>
  <c r="AH52" i="15"/>
  <c r="AI52" i="15"/>
  <c r="AJ52" i="15"/>
  <c r="AK52" i="15"/>
  <c r="AL52" i="15"/>
  <c r="G52" i="15"/>
  <c r="AM52" i="15"/>
  <c r="H52" i="15"/>
  <c r="AN52" i="15"/>
  <c r="Q52" i="15"/>
  <c r="AW52" i="15"/>
  <c r="R52" i="15"/>
  <c r="AX52" i="15"/>
  <c r="S52" i="15"/>
  <c r="AY52" i="15"/>
  <c r="T52" i="15"/>
  <c r="AZ52" i="15"/>
  <c r="U52" i="15"/>
  <c r="BA52" i="15"/>
  <c r="V52" i="15"/>
  <c r="BB52" i="15"/>
  <c r="W52" i="15"/>
  <c r="X52" i="15"/>
  <c r="BC52" i="15"/>
  <c r="V73" i="15"/>
  <c r="BB73" i="15"/>
  <c r="W73" i="15"/>
  <c r="BC73" i="15"/>
  <c r="X73" i="15"/>
  <c r="BD73" i="15"/>
  <c r="Y73" i="15"/>
  <c r="BE73" i="15"/>
  <c r="Z73" i="15"/>
  <c r="AA73" i="15"/>
  <c r="AB73" i="15"/>
  <c r="AC73" i="15"/>
  <c r="AL73" i="15"/>
  <c r="G73" i="15"/>
  <c r="AM73" i="15"/>
  <c r="H73" i="15"/>
  <c r="AN73" i="15"/>
  <c r="F73" i="15"/>
  <c r="I73" i="15"/>
  <c r="AO73" i="15"/>
  <c r="J73" i="15"/>
  <c r="AP73" i="15"/>
  <c r="K73" i="15"/>
  <c r="AQ73" i="15"/>
  <c r="L73" i="15"/>
  <c r="M73" i="15"/>
  <c r="AR73" i="15"/>
  <c r="AS73" i="15"/>
  <c r="N53" i="15"/>
  <c r="AT53" i="15"/>
  <c r="O53" i="15"/>
  <c r="AU53" i="15"/>
  <c r="P53" i="15"/>
  <c r="AV53" i="15"/>
  <c r="Q53" i="15"/>
  <c r="AW53" i="15"/>
  <c r="R53" i="15"/>
  <c r="AX53" i="15"/>
  <c r="S53" i="15"/>
  <c r="AY53" i="15"/>
  <c r="T53" i="15"/>
  <c r="AZ53" i="15"/>
  <c r="U53" i="15"/>
  <c r="BA53" i="15"/>
  <c r="AD53" i="15"/>
  <c r="AE53" i="15"/>
  <c r="AF53" i="15"/>
  <c r="AG53" i="15"/>
  <c r="AH53" i="15"/>
  <c r="AI53" i="15"/>
  <c r="U56" i="15"/>
  <c r="BA56" i="15"/>
  <c r="V56" i="15"/>
  <c r="BB56" i="15"/>
  <c r="W56" i="15"/>
  <c r="BC56" i="15"/>
  <c r="X56" i="15"/>
  <c r="BD56" i="15"/>
  <c r="Y56" i="15"/>
  <c r="BE56" i="15"/>
  <c r="Z56" i="15"/>
  <c r="AA56" i="15"/>
  <c r="AB56" i="15"/>
  <c r="AK56" i="15"/>
  <c r="AL56" i="15"/>
  <c r="G56" i="15"/>
  <c r="AM56" i="15"/>
  <c r="I56" i="15"/>
  <c r="AO56" i="15"/>
  <c r="J56" i="15"/>
  <c r="AP56" i="15"/>
  <c r="H56" i="15"/>
  <c r="K56" i="15"/>
  <c r="L56" i="15"/>
  <c r="AN56" i="15"/>
  <c r="AR56" i="15"/>
  <c r="B32" i="15"/>
  <c r="J36" i="15" s="1"/>
  <c r="AD72" i="15"/>
  <c r="F35" i="15"/>
  <c r="BC74" i="15"/>
  <c r="W74" i="15"/>
  <c r="AC72" i="15"/>
  <c r="AV71" i="15"/>
  <c r="P71" i="15"/>
  <c r="B18" i="15"/>
  <c r="AH22" i="15" s="1"/>
  <c r="F72" i="15"/>
  <c r="AZ74" i="15"/>
  <c r="T74" i="15"/>
  <c r="Z72" i="15"/>
  <c r="AS71" i="15"/>
  <c r="M71" i="15"/>
  <c r="B19" i="15"/>
  <c r="BE23" i="15" s="1"/>
  <c r="F71" i="15"/>
  <c r="AF75" i="15"/>
  <c r="AY74" i="15"/>
  <c r="S74" i="15"/>
  <c r="BE72" i="15"/>
  <c r="Y72" i="15"/>
  <c r="AR71" i="15"/>
  <c r="L71" i="15"/>
  <c r="B20" i="15"/>
  <c r="AB24" i="15" s="1"/>
  <c r="AQ35" i="15"/>
  <c r="AA35" i="15"/>
  <c r="K35" i="15"/>
  <c r="AT34" i="15"/>
  <c r="AD34" i="15"/>
  <c r="N34" i="15"/>
  <c r="AZ56" i="15"/>
  <c r="AJ56" i="15"/>
  <c r="T56" i="15"/>
  <c r="AS53" i="15"/>
  <c r="AC53" i="15"/>
  <c r="M53" i="15"/>
  <c r="AV52" i="15"/>
  <c r="AF52" i="15"/>
  <c r="P52" i="15"/>
  <c r="AU75" i="15"/>
  <c r="AE75" i="15"/>
  <c r="O75" i="15"/>
  <c r="AX74" i="15"/>
  <c r="AH74" i="15"/>
  <c r="R74" i="15"/>
  <c r="BA73" i="15"/>
  <c r="AK73" i="15"/>
  <c r="U73" i="15"/>
  <c r="BD72" i="15"/>
  <c r="AN72" i="15"/>
  <c r="X72" i="15"/>
  <c r="H72" i="15"/>
  <c r="AQ71" i="15"/>
  <c r="AA71" i="15"/>
  <c r="K71" i="15"/>
  <c r="AT70" i="15"/>
  <c r="AD70" i="15"/>
  <c r="N70" i="15"/>
  <c r="BC75" i="15"/>
  <c r="W75" i="15"/>
  <c r="AP74" i="15"/>
  <c r="J74" i="15"/>
  <c r="AV72" i="15"/>
  <c r="P72" i="15"/>
  <c r="AI71" i="15"/>
  <c r="B21" i="15"/>
  <c r="AN25" i="15" s="1"/>
  <c r="W36" i="15"/>
  <c r="AP35" i="15"/>
  <c r="Z35" i="15"/>
  <c r="J35" i="15"/>
  <c r="AS34" i="15"/>
  <c r="AC34" i="15"/>
  <c r="M34" i="15"/>
  <c r="AY56" i="15"/>
  <c r="AI56" i="15"/>
  <c r="S56" i="15"/>
  <c r="AR53" i="15"/>
  <c r="AB53" i="15"/>
  <c r="L53" i="15"/>
  <c r="AU52" i="15"/>
  <c r="AE52" i="15"/>
  <c r="O52" i="15"/>
  <c r="AT75" i="15"/>
  <c r="AD75" i="15"/>
  <c r="N75" i="15"/>
  <c r="AW74" i="15"/>
  <c r="AG74" i="15"/>
  <c r="Q74" i="15"/>
  <c r="AZ73" i="15"/>
  <c r="AJ73" i="15"/>
  <c r="T73" i="15"/>
  <c r="BC72" i="15"/>
  <c r="AM72" i="15"/>
  <c r="W72" i="15"/>
  <c r="G72" i="15"/>
  <c r="AP71" i="15"/>
  <c r="Z71" i="15"/>
  <c r="J71" i="15"/>
  <c r="AS70" i="15"/>
  <c r="AC70" i="15"/>
  <c r="M70" i="15"/>
  <c r="BB75" i="15"/>
  <c r="V75" i="15"/>
  <c r="AO74" i="15"/>
  <c r="I74" i="15"/>
  <c r="AU72" i="15"/>
  <c r="O72" i="15"/>
  <c r="AH71" i="15"/>
  <c r="BE35" i="15"/>
  <c r="AO35" i="15"/>
  <c r="Y35" i="15"/>
  <c r="I35" i="15"/>
  <c r="AR34" i="15"/>
  <c r="AB34" i="15"/>
  <c r="L34" i="15"/>
  <c r="F52" i="15"/>
  <c r="AX56" i="15"/>
  <c r="AH56" i="15"/>
  <c r="R56" i="15"/>
  <c r="AQ53" i="15"/>
  <c r="AA53" i="15"/>
  <c r="K53" i="15"/>
  <c r="AT52" i="15"/>
  <c r="AD52" i="15"/>
  <c r="N52" i="15"/>
  <c r="B42" i="15"/>
  <c r="AX50" i="15" s="1"/>
  <c r="B69" i="15"/>
  <c r="H77" i="15" s="1"/>
  <c r="AS75" i="15"/>
  <c r="AC75" i="15"/>
  <c r="M75" i="15"/>
  <c r="AV74" i="15"/>
  <c r="AF74" i="15"/>
  <c r="P74" i="15"/>
  <c r="AY73" i="15"/>
  <c r="AI73" i="15"/>
  <c r="S73" i="15"/>
  <c r="BB72" i="15"/>
  <c r="AL72" i="15"/>
  <c r="V72" i="15"/>
  <c r="BE71" i="15"/>
  <c r="AO71" i="15"/>
  <c r="Y71" i="15"/>
  <c r="I71" i="15"/>
  <c r="AR70" i="15"/>
  <c r="AB70" i="15"/>
  <c r="L70" i="15"/>
  <c r="BA75" i="15"/>
  <c r="U75" i="15"/>
  <c r="AN74" i="15"/>
  <c r="H74" i="15"/>
  <c r="AT72" i="15"/>
  <c r="N72" i="15"/>
  <c r="AG71" i="15"/>
  <c r="AK36" i="15"/>
  <c r="BD35" i="15"/>
  <c r="AN35" i="15"/>
  <c r="X35" i="15"/>
  <c r="H35" i="15"/>
  <c r="AQ34" i="15"/>
  <c r="AA34" i="15"/>
  <c r="K34" i="15"/>
  <c r="F53" i="15"/>
  <c r="AW56" i="15"/>
  <c r="AG56" i="15"/>
  <c r="Q56" i="15"/>
  <c r="AP53" i="15"/>
  <c r="Z53" i="15"/>
  <c r="J53" i="15"/>
  <c r="AS52" i="15"/>
  <c r="AC52" i="15"/>
  <c r="M52" i="15"/>
  <c r="B43" i="15"/>
  <c r="AE51" i="15" s="1"/>
  <c r="AR75" i="15"/>
  <c r="AB75" i="15"/>
  <c r="L75" i="15"/>
  <c r="AU74" i="15"/>
  <c r="AE74" i="15"/>
  <c r="O74" i="15"/>
  <c r="AX73" i="15"/>
  <c r="AH73" i="15"/>
  <c r="R73" i="15"/>
  <c r="BA72" i="15"/>
  <c r="AK72" i="15"/>
  <c r="U72" i="15"/>
  <c r="BD71" i="15"/>
  <c r="AN71" i="15"/>
  <c r="X71" i="15"/>
  <c r="H71" i="15"/>
  <c r="AQ70" i="15"/>
  <c r="AA70" i="15"/>
  <c r="K70" i="15"/>
  <c r="AZ75" i="15"/>
  <c r="T75" i="15"/>
  <c r="AM74" i="15"/>
  <c r="G74" i="15"/>
  <c r="AS72" i="15"/>
  <c r="M72" i="15"/>
  <c r="AF71" i="15"/>
  <c r="AZ36" i="15"/>
  <c r="BC35" i="15"/>
  <c r="AM35" i="15"/>
  <c r="W35" i="15"/>
  <c r="G35" i="15"/>
  <c r="AP34" i="15"/>
  <c r="Z34" i="15"/>
  <c r="J34" i="15"/>
  <c r="AV56" i="15"/>
  <c r="AF56" i="15"/>
  <c r="P56" i="15"/>
  <c r="BE53" i="15"/>
  <c r="AO53" i="15"/>
  <c r="Y53" i="15"/>
  <c r="I53" i="15"/>
  <c r="AR52" i="15"/>
  <c r="AB52" i="15"/>
  <c r="L52" i="15"/>
  <c r="BA77" i="15"/>
  <c r="AQ75" i="15"/>
  <c r="AA75" i="15"/>
  <c r="K75" i="15"/>
  <c r="AT74" i="15"/>
  <c r="AD74" i="15"/>
  <c r="N74" i="15"/>
  <c r="AW73" i="15"/>
  <c r="AG73" i="15"/>
  <c r="Q73" i="15"/>
  <c r="AZ72" i="15"/>
  <c r="AJ72" i="15"/>
  <c r="T72" i="15"/>
  <c r="BC71" i="15"/>
  <c r="AM71" i="15"/>
  <c r="W71" i="15"/>
  <c r="G71" i="15"/>
  <c r="AP70" i="15"/>
  <c r="Z70" i="15"/>
  <c r="J70" i="15"/>
  <c r="AY75" i="15"/>
  <c r="S75" i="15"/>
  <c r="AL74" i="15"/>
  <c r="AR72" i="15"/>
  <c r="L72" i="15"/>
  <c r="AE71" i="15"/>
  <c r="BB35" i="15"/>
  <c r="AL35" i="15"/>
  <c r="V35" i="15"/>
  <c r="BE34" i="15"/>
  <c r="AO34" i="15"/>
  <c r="Y34" i="15"/>
  <c r="I34" i="15"/>
  <c r="AU56" i="15"/>
  <c r="AE56" i="15"/>
  <c r="O56" i="15"/>
  <c r="BD53" i="15"/>
  <c r="AN53" i="15"/>
  <c r="X53" i="15"/>
  <c r="H53" i="15"/>
  <c r="AQ52" i="15"/>
  <c r="AA52" i="15"/>
  <c r="K52" i="15"/>
  <c r="B47" i="15"/>
  <c r="G55" i="15" s="1"/>
  <c r="B68" i="15"/>
  <c r="Y76" i="15" s="1"/>
  <c r="AP75" i="15"/>
  <c r="Z75" i="15"/>
  <c r="J75" i="15"/>
  <c r="AS74" i="15"/>
  <c r="AC74" i="15"/>
  <c r="M74" i="15"/>
  <c r="AV73" i="15"/>
  <c r="AF73" i="15"/>
  <c r="P73" i="15"/>
  <c r="AY72" i="15"/>
  <c r="AI72" i="15"/>
  <c r="S72" i="15"/>
  <c r="BB71" i="15"/>
  <c r="AL71" i="15"/>
  <c r="V71" i="15"/>
  <c r="BE70" i="15"/>
  <c r="AO70" i="15"/>
  <c r="Y70" i="15"/>
  <c r="I70" i="15"/>
  <c r="AX75" i="15"/>
  <c r="R75" i="15"/>
  <c r="AK74" i="15"/>
  <c r="AQ72" i="15"/>
  <c r="K72" i="15"/>
  <c r="AD71" i="15"/>
  <c r="AH36" i="15"/>
  <c r="BA35" i="15"/>
  <c r="AK35" i="15"/>
  <c r="U35" i="15"/>
  <c r="BD34" i="15"/>
  <c r="AN34" i="15"/>
  <c r="X34" i="15"/>
  <c r="H34" i="15"/>
  <c r="F56" i="15"/>
  <c r="AT56" i="15"/>
  <c r="AD56" i="15"/>
  <c r="N56" i="15"/>
  <c r="BC53" i="15"/>
  <c r="AM53" i="15"/>
  <c r="W53" i="15"/>
  <c r="G53" i="15"/>
  <c r="AP52" i="15"/>
  <c r="Z52" i="15"/>
  <c r="J52" i="15"/>
  <c r="B46" i="15"/>
  <c r="Y54" i="15" s="1"/>
  <c r="V76" i="15"/>
  <c r="BE75" i="15"/>
  <c r="AO75" i="15"/>
  <c r="Y75" i="15"/>
  <c r="I75" i="15"/>
  <c r="AR74" i="15"/>
  <c r="AB74" i="15"/>
  <c r="L74" i="15"/>
  <c r="AU73" i="15"/>
  <c r="AE73" i="15"/>
  <c r="O73" i="15"/>
  <c r="AX72" i="15"/>
  <c r="AH72" i="15"/>
  <c r="R72" i="15"/>
  <c r="BA71" i="15"/>
  <c r="AK71" i="15"/>
  <c r="U71" i="15"/>
  <c r="BD70" i="15"/>
  <c r="AN70" i="15"/>
  <c r="X70" i="15"/>
  <c r="H70" i="15"/>
  <c r="AW75" i="15"/>
  <c r="Q75" i="15"/>
  <c r="AJ74" i="15"/>
  <c r="AP72" i="15"/>
  <c r="J72" i="15"/>
  <c r="AC71" i="15"/>
  <c r="AW36" i="15"/>
  <c r="AZ35" i="15"/>
  <c r="AJ35" i="15"/>
  <c r="T35" i="15"/>
  <c r="BC34" i="15"/>
  <c r="AM34" i="15"/>
  <c r="W34" i="15"/>
  <c r="G34" i="15"/>
  <c r="AS56" i="15"/>
  <c r="AC56" i="15"/>
  <c r="M56" i="15"/>
  <c r="AV55" i="15"/>
  <c r="AF55" i="15"/>
  <c r="P55" i="15"/>
  <c r="BB53" i="15"/>
  <c r="AL53" i="15"/>
  <c r="V53" i="15"/>
  <c r="BE52" i="15"/>
  <c r="AO52" i="15"/>
  <c r="Y52" i="15"/>
  <c r="I52" i="15"/>
  <c r="AR51" i="15"/>
  <c r="B49" i="15"/>
  <c r="AV57" i="15" s="1"/>
  <c r="BD75" i="15"/>
  <c r="AN75" i="15"/>
  <c r="X75" i="15"/>
  <c r="H75" i="15"/>
  <c r="AQ74" i="15"/>
  <c r="AA74" i="15"/>
  <c r="K74" i="15"/>
  <c r="AT73" i="15"/>
  <c r="AD73" i="15"/>
  <c r="N73" i="15"/>
  <c r="AW72" i="15"/>
  <c r="AG72" i="15"/>
  <c r="Q72" i="15"/>
  <c r="AZ71" i="15"/>
  <c r="AJ71" i="15"/>
  <c r="T71" i="15"/>
  <c r="BC70" i="15"/>
  <c r="AM70" i="15"/>
  <c r="W70" i="15"/>
  <c r="G70" i="15"/>
  <c r="AV75" i="15"/>
  <c r="AO72" i="15"/>
  <c r="B33" i="15"/>
  <c r="Y37" i="15" s="1"/>
  <c r="B4" i="15"/>
  <c r="G5" i="15" s="1"/>
  <c r="B10" i="15"/>
  <c r="J12" i="15" s="1"/>
  <c r="B11" i="15"/>
  <c r="BD13" i="15" s="1"/>
  <c r="M51" i="15" l="1"/>
  <c r="O51" i="15"/>
  <c r="P51" i="15"/>
  <c r="AU51" i="15"/>
  <c r="N51" i="15"/>
  <c r="U76" i="15"/>
  <c r="AD51" i="15"/>
  <c r="AK76" i="15"/>
  <c r="AT51" i="15"/>
  <c r="AI50" i="15"/>
  <c r="BA76" i="15"/>
  <c r="BA55" i="15"/>
  <c r="AS51" i="15"/>
  <c r="AU50" i="15"/>
  <c r="AG50" i="15"/>
  <c r="L51" i="15"/>
  <c r="AF38" i="15"/>
  <c r="AB51" i="15"/>
  <c r="AW55" i="15"/>
  <c r="AI38" i="15"/>
  <c r="AL76" i="15"/>
  <c r="BB76" i="15"/>
  <c r="AP76" i="15"/>
  <c r="AN76" i="15"/>
  <c r="S55" i="15"/>
  <c r="AX55" i="15"/>
  <c r="AP57" i="15"/>
  <c r="Q55" i="15"/>
  <c r="AG55" i="15"/>
  <c r="AF57" i="15"/>
  <c r="Q36" i="15"/>
  <c r="AI36" i="15"/>
  <c r="AG36" i="15"/>
  <c r="AY36" i="15"/>
  <c r="AJ36" i="15"/>
  <c r="U36" i="15"/>
  <c r="BA36" i="15"/>
  <c r="AS36" i="15"/>
  <c r="AX36" i="15"/>
  <c r="G36" i="15"/>
  <c r="S36" i="15"/>
  <c r="BC36" i="15"/>
  <c r="AJ37" i="15"/>
  <c r="Y36" i="15"/>
  <c r="AB36" i="15"/>
  <c r="AN23" i="15"/>
  <c r="AI25" i="15"/>
  <c r="S23" i="15"/>
  <c r="V23" i="15"/>
  <c r="AM76" i="15"/>
  <c r="AO76" i="15"/>
  <c r="T55" i="15"/>
  <c r="AH51" i="15"/>
  <c r="Q57" i="15"/>
  <c r="J22" i="15"/>
  <c r="AQ22" i="15"/>
  <c r="P22" i="15"/>
  <c r="L22" i="15"/>
  <c r="R55" i="15"/>
  <c r="H76" i="15"/>
  <c r="AJ55" i="15"/>
  <c r="J76" i="15"/>
  <c r="AX51" i="15"/>
  <c r="AG57" i="15"/>
  <c r="I22" i="15"/>
  <c r="M36" i="15"/>
  <c r="AL22" i="15"/>
  <c r="AW25" i="15"/>
  <c r="H23" i="15"/>
  <c r="AS23" i="15"/>
  <c r="I23" i="15"/>
  <c r="AH55" i="15"/>
  <c r="X76" i="15"/>
  <c r="AZ55" i="15"/>
  <c r="Z76" i="15"/>
  <c r="AK55" i="15"/>
  <c r="P57" i="15"/>
  <c r="T37" i="15"/>
  <c r="AW57" i="15"/>
  <c r="BE22" i="15"/>
  <c r="AC36" i="15"/>
  <c r="BB22" i="15"/>
  <c r="X23" i="15"/>
  <c r="Z24" i="15"/>
  <c r="Y23" i="15"/>
  <c r="BD76" i="15"/>
  <c r="AI55" i="15"/>
  <c r="AF51" i="15"/>
  <c r="F51" i="15"/>
  <c r="AZ37" i="15"/>
  <c r="AF25" i="15"/>
  <c r="J37" i="15"/>
  <c r="AV24" i="15"/>
  <c r="AC37" i="15"/>
  <c r="BD23" i="15"/>
  <c r="AO36" i="15"/>
  <c r="K36" i="15"/>
  <c r="BA5" i="15"/>
  <c r="AY55" i="15"/>
  <c r="AV51" i="15"/>
  <c r="Z37" i="15"/>
  <c r="F22" i="15"/>
  <c r="F37" i="15"/>
  <c r="M22" i="15"/>
  <c r="AL37" i="15"/>
  <c r="AA36" i="15"/>
  <c r="J57" i="15"/>
  <c r="N57" i="15"/>
  <c r="Q51" i="15"/>
  <c r="AI37" i="15"/>
  <c r="W55" i="15"/>
  <c r="AP37" i="15"/>
  <c r="AF36" i="15"/>
  <c r="Z23" i="15"/>
  <c r="BB37" i="15"/>
  <c r="H37" i="15"/>
  <c r="Z57" i="15"/>
  <c r="AU37" i="15"/>
  <c r="L57" i="15"/>
  <c r="AW37" i="15"/>
  <c r="AD57" i="15"/>
  <c r="AW51" i="15"/>
  <c r="O57" i="15"/>
  <c r="AY37" i="15"/>
  <c r="AM55" i="15"/>
  <c r="N36" i="15"/>
  <c r="BD22" i="15"/>
  <c r="AP23" i="15"/>
  <c r="AP36" i="15"/>
  <c r="X37" i="15"/>
  <c r="N37" i="15"/>
  <c r="K57" i="15"/>
  <c r="AB57" i="15"/>
  <c r="AT57" i="15"/>
  <c r="R37" i="15"/>
  <c r="AE57" i="15"/>
  <c r="V55" i="15"/>
  <c r="L76" i="15"/>
  <c r="BC55" i="15"/>
  <c r="K37" i="15"/>
  <c r="U23" i="15"/>
  <c r="AJ25" i="15"/>
  <c r="G37" i="15"/>
  <c r="AN37" i="15"/>
  <c r="F57" i="15"/>
  <c r="AD37" i="15"/>
  <c r="AR57" i="15"/>
  <c r="P37" i="15"/>
  <c r="M57" i="15"/>
  <c r="AH37" i="15"/>
  <c r="AU57" i="15"/>
  <c r="AL55" i="15"/>
  <c r="AB76" i="15"/>
  <c r="U37" i="15"/>
  <c r="AA37" i="15"/>
  <c r="AK23" i="15"/>
  <c r="AA23" i="15"/>
  <c r="W37" i="15"/>
  <c r="BD37" i="15"/>
  <c r="AT37" i="15"/>
  <c r="G76" i="15"/>
  <c r="F55" i="15"/>
  <c r="AF37" i="15"/>
  <c r="I76" i="15"/>
  <c r="AX37" i="15"/>
  <c r="U50" i="15"/>
  <c r="BB55" i="15"/>
  <c r="AI51" i="15"/>
  <c r="AK37" i="15"/>
  <c r="L37" i="15"/>
  <c r="BA23" i="15"/>
  <c r="BE37" i="15"/>
  <c r="AQ23" i="15"/>
  <c r="AM37" i="15"/>
  <c r="AG22" i="15"/>
  <c r="W76" i="15"/>
  <c r="AV37" i="15"/>
  <c r="R51" i="15"/>
  <c r="AY51" i="15"/>
  <c r="BA37" i="15"/>
  <c r="AR37" i="15"/>
  <c r="AX24" i="15"/>
  <c r="K22" i="15"/>
  <c r="AL25" i="15"/>
  <c r="BC37" i="15"/>
  <c r="BE25" i="15"/>
  <c r="P50" i="15"/>
  <c r="AC76" i="15"/>
  <c r="AD76" i="15"/>
  <c r="AE76" i="15"/>
  <c r="AF76" i="15"/>
  <c r="AG76" i="15"/>
  <c r="AH76" i="15"/>
  <c r="AI76" i="15"/>
  <c r="AJ76" i="15"/>
  <c r="M76" i="15"/>
  <c r="AS76" i="15"/>
  <c r="N76" i="15"/>
  <c r="AT76" i="15"/>
  <c r="O76" i="15"/>
  <c r="AU76" i="15"/>
  <c r="P76" i="15"/>
  <c r="AV76" i="15"/>
  <c r="Q76" i="15"/>
  <c r="AW76" i="15"/>
  <c r="R76" i="15"/>
  <c r="AX76" i="15"/>
  <c r="F76" i="15"/>
  <c r="S76" i="15"/>
  <c r="T76" i="15"/>
  <c r="AY76" i="15"/>
  <c r="AZ76" i="15"/>
  <c r="R50" i="15"/>
  <c r="F25" i="15"/>
  <c r="W77" i="15"/>
  <c r="H54" i="15"/>
  <c r="AR76" i="15"/>
  <c r="Y22" i="15"/>
  <c r="AD36" i="15"/>
  <c r="M25" i="15"/>
  <c r="O25" i="15"/>
  <c r="N22" i="15"/>
  <c r="AM25" i="15"/>
  <c r="AB22" i="15"/>
  <c r="AF50" i="15"/>
  <c r="R36" i="15"/>
  <c r="AH50" i="15"/>
  <c r="T36" i="15"/>
  <c r="AM77" i="15"/>
  <c r="X54" i="15"/>
  <c r="I77" i="15"/>
  <c r="J54" i="15"/>
  <c r="AO22" i="15"/>
  <c r="AT36" i="15"/>
  <c r="AC25" i="15"/>
  <c r="AE25" i="15"/>
  <c r="AD22" i="15"/>
  <c r="I36" i="15"/>
  <c r="AR22" i="15"/>
  <c r="AV50" i="15"/>
  <c r="BC77" i="15"/>
  <c r="AN54" i="15"/>
  <c r="Y77" i="15"/>
  <c r="Z54" i="15"/>
  <c r="AU25" i="15"/>
  <c r="G50" i="15"/>
  <c r="AM50" i="15"/>
  <c r="H50" i="15"/>
  <c r="AN50" i="15"/>
  <c r="I50" i="15"/>
  <c r="AO50" i="15"/>
  <c r="J50" i="15"/>
  <c r="AP50" i="15"/>
  <c r="K50" i="15"/>
  <c r="AQ50" i="15"/>
  <c r="L50" i="15"/>
  <c r="AR50" i="15"/>
  <c r="M50" i="15"/>
  <c r="AS50" i="15"/>
  <c r="N50" i="15"/>
  <c r="AT50" i="15"/>
  <c r="W50" i="15"/>
  <c r="BC50" i="15"/>
  <c r="X50" i="15"/>
  <c r="BD50" i="15"/>
  <c r="Y50" i="15"/>
  <c r="BE50" i="15"/>
  <c r="Z50" i="15"/>
  <c r="AA50" i="15"/>
  <c r="AB50" i="15"/>
  <c r="AD50" i="15"/>
  <c r="AC50" i="15"/>
  <c r="AP54" i="15"/>
  <c r="BD54" i="15"/>
  <c r="R77" i="15"/>
  <c r="AC51" i="15"/>
  <c r="O37" i="15"/>
  <c r="BC76" i="15"/>
  <c r="Q37" i="15"/>
  <c r="BE76" i="15"/>
  <c r="T50" i="15"/>
  <c r="U55" i="15"/>
  <c r="BE77" i="15"/>
  <c r="AL23" i="15"/>
  <c r="I37" i="15"/>
  <c r="AQ37" i="15"/>
  <c r="M37" i="15"/>
  <c r="G23" i="15"/>
  <c r="U24" i="15"/>
  <c r="H24" i="15"/>
  <c r="BE36" i="15"/>
  <c r="AO23" i="15"/>
  <c r="AW22" i="15"/>
  <c r="AH77" i="15"/>
  <c r="S54" i="15"/>
  <c r="AE37" i="15"/>
  <c r="T77" i="15"/>
  <c r="AG37" i="15"/>
  <c r="V77" i="15"/>
  <c r="G54" i="15"/>
  <c r="AJ50" i="15"/>
  <c r="V36" i="15"/>
  <c r="K76" i="15"/>
  <c r="V50" i="15"/>
  <c r="H36" i="15"/>
  <c r="BB23" i="15"/>
  <c r="AO37" i="15"/>
  <c r="AE36" i="15"/>
  <c r="AS37" i="15"/>
  <c r="W23" i="15"/>
  <c r="AB37" i="15"/>
  <c r="AK24" i="15"/>
  <c r="U25" i="15"/>
  <c r="V37" i="15"/>
  <c r="K24" i="15"/>
  <c r="AO77" i="15"/>
  <c r="U54" i="15"/>
  <c r="AL77" i="15"/>
  <c r="AZ50" i="15"/>
  <c r="AL50" i="15"/>
  <c r="X36" i="15"/>
  <c r="Q23" i="15"/>
  <c r="AJ23" i="15"/>
  <c r="R23" i="15"/>
  <c r="T23" i="15"/>
  <c r="F23" i="15"/>
  <c r="AT23" i="15"/>
  <c r="AB23" i="15"/>
  <c r="AU23" i="15"/>
  <c r="J23" i="15"/>
  <c r="AC23" i="15"/>
  <c r="AV23" i="15"/>
  <c r="K23" i="15"/>
  <c r="AD23" i="15"/>
  <c r="AW23" i="15"/>
  <c r="M23" i="15"/>
  <c r="AF23" i="15"/>
  <c r="AY23" i="15"/>
  <c r="N23" i="15"/>
  <c r="AG23" i="15"/>
  <c r="AZ23" i="15"/>
  <c r="AH23" i="15"/>
  <c r="AI23" i="15"/>
  <c r="AX23" i="15"/>
  <c r="BC23" i="15"/>
  <c r="L23" i="15"/>
  <c r="O23" i="15"/>
  <c r="P23" i="15"/>
  <c r="AE23" i="15"/>
  <c r="M24" i="15"/>
  <c r="H22" i="15"/>
  <c r="BA24" i="15"/>
  <c r="AZ54" i="15"/>
  <c r="N25" i="15"/>
  <c r="BC25" i="15"/>
  <c r="W25" i="15"/>
  <c r="AP25" i="15"/>
  <c r="X25" i="15"/>
  <c r="AQ25" i="15"/>
  <c r="Y25" i="15"/>
  <c r="AR25" i="15"/>
  <c r="G25" i="15"/>
  <c r="Z25" i="15"/>
  <c r="AS25" i="15"/>
  <c r="I25" i="15"/>
  <c r="AB25" i="15"/>
  <c r="J25" i="15"/>
  <c r="AG25" i="15"/>
  <c r="AT25" i="15"/>
  <c r="AZ25" i="15"/>
  <c r="BA25" i="15"/>
  <c r="L25" i="15"/>
  <c r="AA25" i="15"/>
  <c r="AD25" i="15"/>
  <c r="H25" i="15"/>
  <c r="K25" i="15"/>
  <c r="AX77" i="15"/>
  <c r="AY54" i="15"/>
  <c r="AZ77" i="15"/>
  <c r="BB77" i="15"/>
  <c r="BB36" i="15"/>
  <c r="AQ76" i="15"/>
  <c r="AI24" i="15"/>
  <c r="AJ24" i="15"/>
  <c r="AR23" i="15"/>
  <c r="AL24" i="15"/>
  <c r="BB54" i="15"/>
  <c r="AI54" i="15"/>
  <c r="AJ77" i="15"/>
  <c r="W54" i="15"/>
  <c r="AL36" i="15"/>
  <c r="AA76" i="15"/>
  <c r="S24" i="15"/>
  <c r="AM23" i="15"/>
  <c r="AK25" i="15"/>
  <c r="V24" i="15"/>
  <c r="AH57" i="15"/>
  <c r="AI57" i="15"/>
  <c r="AJ57" i="15"/>
  <c r="AK57" i="15"/>
  <c r="AL57" i="15"/>
  <c r="G57" i="15"/>
  <c r="AM57" i="15"/>
  <c r="H57" i="15"/>
  <c r="AN57" i="15"/>
  <c r="I57" i="15"/>
  <c r="AO57" i="15"/>
  <c r="R57" i="15"/>
  <c r="AX57" i="15"/>
  <c r="S57" i="15"/>
  <c r="AY57" i="15"/>
  <c r="T57" i="15"/>
  <c r="AZ57" i="15"/>
  <c r="V57" i="15"/>
  <c r="BB57" i="15"/>
  <c r="W57" i="15"/>
  <c r="BC57" i="15"/>
  <c r="U57" i="15"/>
  <c r="X57" i="15"/>
  <c r="Y57" i="15"/>
  <c r="BA57" i="15"/>
  <c r="BD57" i="15"/>
  <c r="BE57" i="15"/>
  <c r="AA57" i="15"/>
  <c r="AK54" i="15"/>
  <c r="AC57" i="15"/>
  <c r="AM54" i="15"/>
  <c r="BB50" i="15"/>
  <c r="AN36" i="15"/>
  <c r="AC24" i="15"/>
  <c r="X22" i="15"/>
  <c r="R25" i="15"/>
  <c r="BD25" i="15"/>
  <c r="O50" i="15"/>
  <c r="AQ57" i="15"/>
  <c r="H55" i="15"/>
  <c r="AN55" i="15"/>
  <c r="I55" i="15"/>
  <c r="AO55" i="15"/>
  <c r="J55" i="15"/>
  <c r="AP55" i="15"/>
  <c r="K55" i="15"/>
  <c r="AQ55" i="15"/>
  <c r="L55" i="15"/>
  <c r="AR55" i="15"/>
  <c r="M55" i="15"/>
  <c r="AS55" i="15"/>
  <c r="N55" i="15"/>
  <c r="AT55" i="15"/>
  <c r="O55" i="15"/>
  <c r="AU55" i="15"/>
  <c r="X55" i="15"/>
  <c r="BD55" i="15"/>
  <c r="Y55" i="15"/>
  <c r="BE55" i="15"/>
  <c r="Z55" i="15"/>
  <c r="AB55" i="15"/>
  <c r="AC55" i="15"/>
  <c r="AA55" i="15"/>
  <c r="AD55" i="15"/>
  <c r="AE55" i="15"/>
  <c r="BA54" i="15"/>
  <c r="AS57" i="15"/>
  <c r="T51" i="15"/>
  <c r="AZ51" i="15"/>
  <c r="U51" i="15"/>
  <c r="BA51" i="15"/>
  <c r="V51" i="15"/>
  <c r="BB51" i="15"/>
  <c r="W51" i="15"/>
  <c r="BC51" i="15"/>
  <c r="X51" i="15"/>
  <c r="BD51" i="15"/>
  <c r="Y51" i="15"/>
  <c r="BE51" i="15"/>
  <c r="Z51" i="15"/>
  <c r="AA51" i="15"/>
  <c r="AJ51" i="15"/>
  <c r="AK51" i="15"/>
  <c r="AL51" i="15"/>
  <c r="G51" i="15"/>
  <c r="AM51" i="15"/>
  <c r="H51" i="15"/>
  <c r="AN51" i="15"/>
  <c r="I51" i="15"/>
  <c r="AO51" i="15"/>
  <c r="J51" i="15"/>
  <c r="K51" i="15"/>
  <c r="AP51" i="15"/>
  <c r="AQ51" i="15"/>
  <c r="BC54" i="15"/>
  <c r="AG51" i="15"/>
  <c r="S37" i="15"/>
  <c r="I54" i="15"/>
  <c r="S51" i="15"/>
  <c r="BD36" i="15"/>
  <c r="AY24" i="15"/>
  <c r="AS24" i="15"/>
  <c r="F36" i="15"/>
  <c r="AN22" i="15"/>
  <c r="AZ24" i="15"/>
  <c r="AH25" i="15"/>
  <c r="I24" i="15"/>
  <c r="BB24" i="15"/>
  <c r="J77" i="15"/>
  <c r="AP77" i="15"/>
  <c r="K77" i="15"/>
  <c r="AQ77" i="15"/>
  <c r="L77" i="15"/>
  <c r="AR77" i="15"/>
  <c r="M77" i="15"/>
  <c r="AS77" i="15"/>
  <c r="N77" i="15"/>
  <c r="AT77" i="15"/>
  <c r="O77" i="15"/>
  <c r="AU77" i="15"/>
  <c r="P77" i="15"/>
  <c r="AV77" i="15"/>
  <c r="Q77" i="15"/>
  <c r="AW77" i="15"/>
  <c r="Z77" i="15"/>
  <c r="AA77" i="15"/>
  <c r="AB77" i="15"/>
  <c r="AC77" i="15"/>
  <c r="AD77" i="15"/>
  <c r="AE77" i="15"/>
  <c r="AF77" i="15"/>
  <c r="AG77" i="15"/>
  <c r="F77" i="15"/>
  <c r="AE50" i="15"/>
  <c r="Q50" i="15"/>
  <c r="F54" i="15"/>
  <c r="S50" i="15"/>
  <c r="X77" i="15"/>
  <c r="P25" i="15"/>
  <c r="P36" i="15"/>
  <c r="AR36" i="15"/>
  <c r="AU36" i="15"/>
  <c r="AV36" i="15"/>
  <c r="L36" i="15"/>
  <c r="O36" i="15"/>
  <c r="Q25" i="15"/>
  <c r="AX25" i="15"/>
  <c r="V25" i="15"/>
  <c r="Z36" i="15"/>
  <c r="S25" i="15"/>
  <c r="L24" i="15"/>
  <c r="AA54" i="15"/>
  <c r="AB54" i="15"/>
  <c r="AC54" i="15"/>
  <c r="AD54" i="15"/>
  <c r="AE54" i="15"/>
  <c r="AF54" i="15"/>
  <c r="AG54" i="15"/>
  <c r="AH54" i="15"/>
  <c r="K54" i="15"/>
  <c r="AQ54" i="15"/>
  <c r="L54" i="15"/>
  <c r="AR54" i="15"/>
  <c r="M54" i="15"/>
  <c r="AS54" i="15"/>
  <c r="O54" i="15"/>
  <c r="AU54" i="15"/>
  <c r="P54" i="15"/>
  <c r="AV54" i="15"/>
  <c r="AX54" i="15"/>
  <c r="N54" i="15"/>
  <c r="Q54" i="15"/>
  <c r="R54" i="15"/>
  <c r="AT54" i="15"/>
  <c r="AW54" i="15"/>
  <c r="AO54" i="15"/>
  <c r="AN77" i="15"/>
  <c r="AW50" i="15"/>
  <c r="AY50" i="15"/>
  <c r="BD77" i="15"/>
  <c r="BE54" i="15"/>
  <c r="AV25" i="15"/>
  <c r="BB25" i="15"/>
  <c r="AY25" i="15"/>
  <c r="AO25" i="15"/>
  <c r="AA24" i="15"/>
  <c r="AT24" i="15"/>
  <c r="AU24" i="15"/>
  <c r="AD24" i="15"/>
  <c r="AW24" i="15"/>
  <c r="AE24" i="15"/>
  <c r="F24" i="15"/>
  <c r="N24" i="15"/>
  <c r="AG24" i="15"/>
  <c r="BC24" i="15"/>
  <c r="O24" i="15"/>
  <c r="BD24" i="15"/>
  <c r="BE24" i="15"/>
  <c r="Q24" i="15"/>
  <c r="AM24" i="15"/>
  <c r="AO24" i="15"/>
  <c r="W24" i="15"/>
  <c r="AP24" i="15"/>
  <c r="T24" i="15"/>
  <c r="X24" i="15"/>
  <c r="Y24" i="15"/>
  <c r="AR24" i="15"/>
  <c r="AN24" i="15"/>
  <c r="AQ24" i="15"/>
  <c r="T54" i="15"/>
  <c r="V54" i="15"/>
  <c r="AK50" i="15"/>
  <c r="R24" i="15"/>
  <c r="G24" i="15"/>
  <c r="S77" i="15"/>
  <c r="AI77" i="15"/>
  <c r="U77" i="15"/>
  <c r="P24" i="15"/>
  <c r="AY77" i="15"/>
  <c r="AJ54" i="15"/>
  <c r="AK77" i="15"/>
  <c r="AL54" i="15"/>
  <c r="G77" i="15"/>
  <c r="BA50" i="15"/>
  <c r="AM36" i="15"/>
  <c r="F50" i="15"/>
  <c r="G22" i="15"/>
  <c r="AE22" i="15"/>
  <c r="AX22" i="15"/>
  <c r="AF22" i="15"/>
  <c r="AY22" i="15"/>
  <c r="AZ22" i="15"/>
  <c r="BA22" i="15"/>
  <c r="O22" i="15"/>
  <c r="AI22" i="15"/>
  <c r="AJ22" i="15"/>
  <c r="BC22" i="15"/>
  <c r="Q22" i="15"/>
  <c r="AK22" i="15"/>
  <c r="R22" i="15"/>
  <c r="S22" i="15"/>
  <c r="AM22" i="15"/>
  <c r="T22" i="15"/>
  <c r="AP22" i="15"/>
  <c r="V22" i="15"/>
  <c r="AS22" i="15"/>
  <c r="W22" i="15"/>
  <c r="AT22" i="15"/>
  <c r="U22" i="15"/>
  <c r="Z22" i="15"/>
  <c r="AC22" i="15"/>
  <c r="AU22" i="15"/>
  <c r="AV22" i="15"/>
  <c r="AF24" i="15"/>
  <c r="AH24" i="15"/>
  <c r="AA22" i="15"/>
  <c r="T25" i="15"/>
  <c r="J24" i="15"/>
  <c r="AQ36" i="15"/>
  <c r="AM12" i="15"/>
  <c r="AE13" i="15"/>
  <c r="P12" i="15"/>
  <c r="AN12" i="15"/>
  <c r="T12" i="15"/>
  <c r="AS12" i="15"/>
  <c r="Y12" i="15"/>
  <c r="O12" i="15"/>
  <c r="R12" i="15"/>
  <c r="S12" i="15"/>
  <c r="AO12" i="15"/>
  <c r="AR12" i="15"/>
  <c r="AT12" i="15"/>
  <c r="AU12" i="15"/>
  <c r="AV12" i="15"/>
  <c r="T13" i="15"/>
  <c r="U12" i="15"/>
  <c r="BA12" i="15"/>
  <c r="G12" i="15"/>
  <c r="W12" i="15"/>
  <c r="BC12" i="15"/>
  <c r="I12" i="15"/>
  <c r="BE12" i="15"/>
  <c r="Z12" i="15"/>
  <c r="AA12" i="15"/>
  <c r="AB12" i="15"/>
  <c r="F12" i="15"/>
  <c r="AC13" i="15"/>
  <c r="AD13" i="15"/>
  <c r="AK13" i="15"/>
  <c r="AL13" i="15"/>
  <c r="G13" i="15"/>
  <c r="J13" i="15"/>
  <c r="K13" i="15"/>
  <c r="L13" i="15"/>
  <c r="AR13" i="15"/>
  <c r="M13" i="15"/>
  <c r="AS13" i="15"/>
  <c r="AT13" i="15"/>
  <c r="Q13" i="15"/>
  <c r="AW13" i="15"/>
  <c r="R13" i="15"/>
  <c r="AX13" i="15"/>
  <c r="S13" i="15"/>
  <c r="AY13" i="15"/>
  <c r="AI13" i="15"/>
  <c r="AV13" i="15"/>
  <c r="BB13" i="15"/>
  <c r="AF13" i="15"/>
  <c r="AG13" i="15"/>
  <c r="AH13" i="15"/>
  <c r="AZ13" i="15"/>
  <c r="H13" i="15"/>
  <c r="AJ13" i="15"/>
  <c r="U13" i="15"/>
  <c r="BA13" i="15"/>
  <c r="AM13" i="15"/>
  <c r="I13" i="15"/>
  <c r="AN13" i="15"/>
  <c r="V13" i="15"/>
  <c r="AO13" i="15"/>
  <c r="F13" i="15"/>
  <c r="N13" i="15"/>
  <c r="W13" i="15"/>
  <c r="AP13" i="15"/>
  <c r="BC13" i="15"/>
  <c r="O13" i="15"/>
  <c r="X13" i="15"/>
  <c r="AQ13" i="15"/>
  <c r="P13" i="15"/>
  <c r="Y13" i="15"/>
  <c r="H12" i="15"/>
  <c r="AP12" i="15"/>
  <c r="AQ12" i="15"/>
  <c r="Q12" i="15"/>
  <c r="V12" i="15"/>
  <c r="BB12" i="15"/>
  <c r="X12" i="15"/>
  <c r="BD12" i="15"/>
  <c r="AC12" i="15"/>
  <c r="AD12" i="15"/>
  <c r="AE12" i="15"/>
  <c r="AF12" i="15"/>
  <c r="AG12" i="15"/>
  <c r="AH12" i="15"/>
  <c r="AI12" i="15"/>
  <c r="AJ12" i="15"/>
  <c r="AK12" i="15"/>
  <c r="AL12" i="15"/>
  <c r="AW12" i="15"/>
  <c r="BE13" i="15"/>
  <c r="AB13" i="15"/>
  <c r="AX12" i="15"/>
  <c r="Z13" i="15"/>
  <c r="L12" i="15"/>
  <c r="AY12" i="15"/>
  <c r="M12" i="15"/>
  <c r="AZ12" i="15"/>
  <c r="AA13" i="15"/>
  <c r="N12" i="15"/>
  <c r="AU13" i="15"/>
  <c r="K12" i="15"/>
  <c r="AS5" i="15"/>
  <c r="N5" i="15"/>
  <c r="AI5" i="15"/>
  <c r="AT5" i="15"/>
  <c r="AJ5" i="15"/>
  <c r="Q5" i="15"/>
  <c r="AK5" i="15"/>
  <c r="AW5" i="15"/>
  <c r="AL5" i="15"/>
  <c r="S5" i="15"/>
  <c r="AD5" i="15"/>
  <c r="AY5" i="15"/>
  <c r="T5" i="15"/>
  <c r="AZ5" i="15"/>
  <c r="X5" i="15"/>
  <c r="BD5" i="15"/>
  <c r="AG5" i="15"/>
  <c r="AF5" i="15"/>
  <c r="F5" i="15"/>
  <c r="Z5" i="15"/>
  <c r="BE5" i="15"/>
  <c r="Y5" i="15"/>
  <c r="BC5" i="15"/>
  <c r="W5" i="15"/>
  <c r="BB5" i="15"/>
  <c r="U5" i="15"/>
  <c r="AM5" i="15"/>
  <c r="AX5" i="15"/>
  <c r="H5" i="15"/>
  <c r="R5" i="15"/>
  <c r="I5" i="15"/>
  <c r="AV5" i="15"/>
  <c r="AO5" i="15"/>
  <c r="P5" i="15"/>
  <c r="J5" i="15"/>
  <c r="AU5" i="15"/>
  <c r="AP5" i="15"/>
  <c r="O5" i="15"/>
  <c r="K5" i="15"/>
  <c r="AN5" i="15"/>
  <c r="AQ5" i="15"/>
  <c r="AA5" i="15"/>
  <c r="L5" i="15"/>
  <c r="AB5" i="15"/>
  <c r="AR5" i="15"/>
  <c r="AC5" i="15"/>
  <c r="M5" i="15"/>
  <c r="AE5" i="15"/>
  <c r="AH5" i="15"/>
  <c r="V5" i="15"/>
</calcChain>
</file>

<file path=xl/sharedStrings.xml><?xml version="1.0" encoding="utf-8"?>
<sst xmlns="http://schemas.openxmlformats.org/spreadsheetml/2006/main" count="408" uniqueCount="93">
  <si>
    <t>D.5年以上</t>
  </si>
  <si>
    <t>A.非常认可</t>
  </si>
  <si>
    <t>B.分散和降低投资风险</t>
  </si>
  <si>
    <t>A.增加资产类别</t>
  </si>
  <si>
    <t>A.自己搭配</t>
  </si>
  <si>
    <t>A.A股基金</t>
  </si>
  <si>
    <t>B.债券基金</t>
  </si>
  <si>
    <t>C.海外市场基金</t>
  </si>
  <si>
    <t>D.商品基金</t>
  </si>
  <si>
    <t>A.统计，且有清晰的投资计划</t>
  </si>
  <si>
    <t>B.小于10%</t>
  </si>
  <si>
    <t>A.QDII基金</t>
  </si>
  <si>
    <t>B.外汇存款或理财</t>
  </si>
  <si>
    <t>D.黄金ETF或联接基金</t>
  </si>
  <si>
    <t>C.费率太高</t>
  </si>
  <si>
    <t>C.1年-3年</t>
  </si>
  <si>
    <t>A.小于1年</t>
  </si>
  <si>
    <t>D.害怕错失某些资产的投资机会</t>
  </si>
  <si>
    <t>B.多元配置型FOF产品</t>
  </si>
  <si>
    <t>B.黄金类银行理财</t>
  </si>
  <si>
    <t>C.3-5年</t>
  </si>
  <si>
    <t>C.多元配置策略的投顾服务</t>
  </si>
  <si>
    <t>B.统计，但没有清晰的投资计划</t>
  </si>
  <si>
    <t>D.20-50%</t>
  </si>
  <si>
    <t>A.收益不够高</t>
  </si>
  <si>
    <t>D.流动性不好</t>
  </si>
  <si>
    <t>D.3年以上</t>
  </si>
  <si>
    <t>A.提高投资收益</t>
  </si>
  <si>
    <t>C.看好特定资产的未来表现</t>
  </si>
  <si>
    <t>B.维持现状</t>
  </si>
  <si>
    <t>E.多元配置型FOF产品</t>
  </si>
  <si>
    <t>D.FOF产品</t>
  </si>
  <si>
    <t>C.金饰、金条</t>
  </si>
  <si>
    <t>B.半年-1年</t>
  </si>
  <si>
    <t>B.一般认可</t>
  </si>
  <si>
    <t>B.不能分散风险</t>
  </si>
  <si>
    <t>C.不统计</t>
  </si>
  <si>
    <t>C.海外证券账户</t>
  </si>
  <si>
    <t>E.海外保险</t>
  </si>
  <si>
    <t>C.10-20%</t>
  </si>
  <si>
    <t>A.半年以内</t>
  </si>
  <si>
    <t>C.减少资产类别</t>
  </si>
  <si>
    <t>B.1-3年</t>
  </si>
  <si>
    <t>C.不太认可</t>
  </si>
  <si>
    <t>6.您认为多元资产配置的主要意义是什么？</t>
    <phoneticPr fontId="3" type="noConversion"/>
  </si>
  <si>
    <t>7.在未来的投资规划中，您对资产配置是如何考虑的？</t>
    <phoneticPr fontId="3" type="noConversion"/>
  </si>
  <si>
    <t>8.您希望多元资产配置如何来实现？</t>
    <phoneticPr fontId="3" type="noConversion"/>
  </si>
  <si>
    <t>9.在当前市场环境下，您更想买什么样的基金？</t>
    <phoneticPr fontId="3" type="noConversion"/>
  </si>
  <si>
    <t>10.您是否会统计家庭各类金融资产的占比情况，并做好投资计划？</t>
    <phoneticPr fontId="3" type="noConversion"/>
  </si>
  <si>
    <t>11.您是否有投资海外金融资产的经验？如有，您投资的海外金融资产占总金融资产的比例有多少？</t>
    <phoneticPr fontId="3" type="noConversion"/>
  </si>
  <si>
    <t>12.如果有，您采用何种形式参与海外金融资产的投资？</t>
    <phoneticPr fontId="3" type="noConversion"/>
  </si>
  <si>
    <t>13.您是否有投资黄金类资产的经验？如有，您主要通过以下哪种方式参与？</t>
    <phoneticPr fontId="3" type="noConversion"/>
  </si>
  <si>
    <t>14.您对投资于多元配置型FOF产品的顾虑有哪些？</t>
    <phoneticPr fontId="3" type="noConversion"/>
  </si>
  <si>
    <t>15.您愿意持有多元配置型FOF产品多久？</t>
    <phoneticPr fontId="3" type="noConversion"/>
  </si>
  <si>
    <t>男</t>
    <phoneticPr fontId="3" type="noConversion"/>
  </si>
  <si>
    <t>女</t>
    <phoneticPr fontId="3" type="noConversion"/>
  </si>
  <si>
    <t>18-30</t>
    <phoneticPr fontId="3" type="noConversion"/>
  </si>
  <si>
    <t>31-40</t>
    <phoneticPr fontId="3" type="noConversion"/>
  </si>
  <si>
    <t>41-50</t>
    <phoneticPr fontId="3" type="noConversion"/>
  </si>
  <si>
    <t>50岁以上</t>
    <phoneticPr fontId="3" type="noConversion"/>
  </si>
  <si>
    <t>4.您对多元资产配置的了解程度如何？</t>
    <phoneticPr fontId="3" type="noConversion"/>
  </si>
  <si>
    <t>分性别</t>
    <phoneticPr fontId="3" type="noConversion"/>
  </si>
  <si>
    <t>分年龄</t>
    <phoneticPr fontId="3" type="noConversion"/>
  </si>
  <si>
    <t>分投资经验</t>
    <phoneticPr fontId="3" type="noConversion"/>
  </si>
  <si>
    <t>小于1年</t>
    <phoneticPr fontId="3" type="noConversion"/>
  </si>
  <si>
    <t>1-3年</t>
    <phoneticPr fontId="3" type="noConversion"/>
  </si>
  <si>
    <t>3-5年</t>
    <phoneticPr fontId="3" type="noConversion"/>
  </si>
  <si>
    <t>5年以上</t>
    <phoneticPr fontId="3" type="noConversion"/>
  </si>
  <si>
    <t>5.您对多元资产配置的认可程度如何？</t>
    <phoneticPr fontId="3" type="noConversion"/>
  </si>
  <si>
    <t>A.18-30 汇总</t>
  </si>
  <si>
    <t>B.31-40 汇总</t>
  </si>
  <si>
    <t>C.41-50 汇总</t>
  </si>
  <si>
    <t>D.50岁以上 汇总</t>
  </si>
  <si>
    <t>A.男 汇总</t>
  </si>
  <si>
    <t>B.女 汇总</t>
  </si>
  <si>
    <t>A.非常了解</t>
    <phoneticPr fontId="3" type="noConversion"/>
  </si>
  <si>
    <t>B.一般了解</t>
    <phoneticPr fontId="3" type="noConversion"/>
  </si>
  <si>
    <t>C.不太了解</t>
    <phoneticPr fontId="3" type="noConversion"/>
  </si>
  <si>
    <t>D.希望增加了解</t>
    <phoneticPr fontId="3" type="noConversion"/>
  </si>
  <si>
    <t>F.其他基金产品</t>
  </si>
  <si>
    <t>F.其他海外投资产品</t>
  </si>
  <si>
    <t>E.FOF产品参与</t>
  </si>
  <si>
    <t>F.其他黄金产品</t>
  </si>
  <si>
    <t>E,不够聚焦</t>
  </si>
  <si>
    <t>F.其他顾虑</t>
  </si>
  <si>
    <t>A.不投黄金</t>
  </si>
  <si>
    <t>A.不投海外资产</t>
  </si>
  <si>
    <t>总体</t>
    <phoneticPr fontId="3" type="noConversion"/>
  </si>
  <si>
    <t>SUM</t>
    <phoneticPr fontId="3" type="noConversion"/>
  </si>
  <si>
    <t>性别×年龄</t>
    <phoneticPr fontId="3" type="noConversion"/>
  </si>
  <si>
    <t>性别×投资经验</t>
    <phoneticPr fontId="3" type="noConversion"/>
  </si>
  <si>
    <t>总计</t>
    <phoneticPr fontId="3" type="noConversion"/>
  </si>
  <si>
    <t>1年以上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</si>
</sst>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10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0" fillId="4" borderId="0" xfId="0" applyFill="1">
      <alignment vertical="center"/>
    </xf>
    <xf numFmtId="10" fontId="1" fillId="0" borderId="0" xfId="0" applyNumberFormat="1" applyFont="1" applyAlignment="1">
      <alignment vertical="center" wrapText="1"/>
    </xf>
    <xf numFmtId="0" fontId="1" fillId="4" borderId="0" xfId="0" applyFont="1" applyFill="1">
      <alignment vertical="center"/>
    </xf>
    <xf numFmtId="0" fontId="4" fillId="3" borderId="0" xfId="0" applyFont="1" applyFill="1" applyAlignment="1">
      <alignment vertical="center" wrapText="1"/>
    </xf>
    <xf numFmtId="0" fontId="4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5" borderId="0" xfId="0" applyFont="1" applyFill="1">
      <alignment vertical="center"/>
    </xf>
    <xf numFmtId="10" fontId="0" fillId="5" borderId="0" xfId="0" applyNumberFormat="1" applyFill="1">
      <alignment vertical="center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对多元资产配置的了解程度：总体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'7.统计'!$F$3:$I$3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'7.统计'!$F$5:$I$5</c:f>
              <c:numCache>
                <c:formatCode>0.00%</c:formatCode>
                <c:ptCount val="4"/>
                <c:pt idx="0">
                  <c:v>0.26784726065301606</c:v>
                </c:pt>
                <c:pt idx="1">
                  <c:v>0.45600442722744883</c:v>
                </c:pt>
                <c:pt idx="2">
                  <c:v>0.16104039845047038</c:v>
                </c:pt>
                <c:pt idx="3">
                  <c:v>0.11510791366906475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E-4CE4-BB1C-22882CDCB9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5842159"/>
        <c:axId val="235829679"/>
      </c:barChart>
      <c:catAx>
        <c:axId val="235842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829679"/>
        <c:crosses val="autoZero"/>
        <c:auto val="1"/>
        <c:lblAlgn val="ctr"/>
        <c:lblOffset val="100"/>
        <c:noMultiLvlLbl val="0"/>
      </c:catAx>
      <c:valAx>
        <c:axId val="23582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84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'7.统计'!$F$9:$I$9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'7.统计'!$F$12:$I$12</c:f>
              <c:numCache>
                <c:formatCode>0.00%</c:formatCode>
                <c:ptCount val="4"/>
                <c:pt idx="0">
                  <c:v>0.31795035009548056</c:v>
                </c:pt>
                <c:pt idx="1">
                  <c:v>0.43252705283259069</c:v>
                </c:pt>
                <c:pt idx="2">
                  <c:v>0.14831317632081475</c:v>
                </c:pt>
                <c:pt idx="3">
                  <c:v>0.10120942075111394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A-4563-B062-94899385374B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'7.统计'!$F$9:$I$9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'7.统计'!$F$13:$I$13</c:f>
              <c:numCache>
                <c:formatCode>0.00%</c:formatCode>
                <c:ptCount val="4"/>
                <c:pt idx="0">
                  <c:v>0.19877139096094779</c:v>
                </c:pt>
                <c:pt idx="1">
                  <c:v>0.48837209302325579</c:v>
                </c:pt>
                <c:pt idx="2">
                  <c:v>0.17858709960508995</c:v>
                </c:pt>
                <c:pt idx="3">
                  <c:v>0.13426941641070644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A-4563-B062-9489938537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'7.统计'!$F$17:$I$17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'7.统计'!$F$22:$I$22</c:f>
              <c:numCache>
                <c:formatCode>0.00%</c:formatCode>
                <c:ptCount val="4"/>
                <c:pt idx="0">
                  <c:v>0.30044182621502208</c:v>
                </c:pt>
                <c:pt idx="1">
                  <c:v>0.40648011782032401</c:v>
                </c:pt>
                <c:pt idx="2">
                  <c:v>0.20471281296023564</c:v>
                </c:pt>
                <c:pt idx="3">
                  <c:v>8.8365243004418267E-2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2-41A4-9650-E2D37A7523B3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'7.统计'!$F$17:$I$17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'7.统计'!$F$23:$I$23</c:f>
              <c:numCache>
                <c:formatCode>0.00%</c:formatCode>
                <c:ptCount val="4"/>
                <c:pt idx="0">
                  <c:v>0.3056379821958457</c:v>
                </c:pt>
                <c:pt idx="1">
                  <c:v>0.47715133531157272</c:v>
                </c:pt>
                <c:pt idx="2">
                  <c:v>0.14183976261127595</c:v>
                </c:pt>
                <c:pt idx="3">
                  <c:v>7.5370919881305634E-2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2-41A4-9650-E2D37A7523B3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'7.统计'!$F$17:$I$17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'7.统计'!$F$24:$I$24</c:f>
              <c:numCache>
                <c:formatCode>0.00%</c:formatCode>
                <c:ptCount val="4"/>
                <c:pt idx="0">
                  <c:v>0.25730577334283677</c:v>
                </c:pt>
                <c:pt idx="1">
                  <c:v>0.46756949394155384</c:v>
                </c:pt>
                <c:pt idx="2">
                  <c:v>0.16963649322879543</c:v>
                </c:pt>
                <c:pt idx="3">
                  <c:v>0.10548823948681398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A2-41A4-9650-E2D37A7523B3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'7.统计'!$F$17:$I$17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'7.统计'!$F$25:$I$25</c:f>
              <c:numCache>
                <c:formatCode>0.00%</c:formatCode>
                <c:ptCount val="4"/>
                <c:pt idx="0">
                  <c:v>0.2249093107617896</c:v>
                </c:pt>
                <c:pt idx="1">
                  <c:v>0.44498186215235791</c:v>
                </c:pt>
                <c:pt idx="2">
                  <c:v>0.15538089480048367</c:v>
                </c:pt>
                <c:pt idx="3">
                  <c:v>0.17472793228536881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A2-41A4-9650-E2D37A7523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'7.统计'!$J$9:$L$9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'7.统计'!$J$12:$L$12</c:f>
              <c:numCache>
                <c:formatCode>0.00%</c:formatCode>
                <c:ptCount val="3"/>
                <c:pt idx="0">
                  <c:v>0.5003182686187142</c:v>
                </c:pt>
                <c:pt idx="1">
                  <c:v>0.44589433481858687</c:v>
                </c:pt>
                <c:pt idx="2">
                  <c:v>5.3787396562698916E-2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7-42F1-9D1C-9E33DF7F845F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'7.统计'!$J$9:$L$9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'7.统计'!$J$13:$L$13</c:f>
              <c:numCache>
                <c:formatCode>0.00%</c:formatCode>
                <c:ptCount val="3"/>
                <c:pt idx="0">
                  <c:v>0.46072838964458096</c:v>
                </c:pt>
                <c:pt idx="1">
                  <c:v>0.47608600263273365</c:v>
                </c:pt>
                <c:pt idx="2">
                  <c:v>6.3185607722685388E-2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7-42F1-9D1C-9E33DF7F84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对多元资产配置的认可程度：总体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015-4CA2-8D7D-A6AE8A0D531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015-4CA2-8D7D-A6AE8A0D531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015-4CA2-8D7D-A6AE8A0D531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015-4CA2-8D7D-A6AE8A0D53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'7.统计'!$J$3:$L$3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'7.统计'!$J$5:$L$5</c:f>
              <c:numCache>
                <c:formatCode>0.00%</c:formatCode>
                <c:ptCount val="3"/>
                <c:pt idx="0">
                  <c:v>0.48367459878251245</c:v>
                </c:pt>
                <c:pt idx="1">
                  <c:v>0.45858697657258807</c:v>
                </c:pt>
                <c:pt idx="2">
                  <c:v>5.7738424644899464E-2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015-4CA2-8D7D-A6AE8A0D53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6471551"/>
        <c:axId val="136451871"/>
      </c:barChart>
      <c:catAx>
        <c:axId val="136471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451871"/>
        <c:crosses val="autoZero"/>
        <c:auto val="1"/>
        <c:lblAlgn val="ctr"/>
        <c:lblOffset val="100"/>
        <c:noMultiLvlLbl val="0"/>
      </c:catAx>
      <c:valAx>
        <c:axId val="13645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47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'7.统计'!$F$29:$I$29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'7.统计'!$F$34:$I$34</c:f>
              <c:numCache>
                <c:formatCode>0.00%</c:formatCode>
                <c:ptCount val="4"/>
                <c:pt idx="0">
                  <c:v>0.28637770897832815</c:v>
                </c:pt>
                <c:pt idx="1">
                  <c:v>0.31269349845201239</c:v>
                </c:pt>
                <c:pt idx="2">
                  <c:v>0.28947368421052633</c:v>
                </c:pt>
                <c:pt idx="3">
                  <c:v>0.11145510835913312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A-47A3-9ABA-66ACF5064053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'7.统计'!$F$29:$I$29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'7.统计'!$F$35:$I$35</c:f>
              <c:numCache>
                <c:formatCode>0.00%</c:formatCode>
                <c:ptCount val="4"/>
                <c:pt idx="0">
                  <c:v>0.14865900383141761</c:v>
                </c:pt>
                <c:pt idx="1">
                  <c:v>0.5455938697318008</c:v>
                </c:pt>
                <c:pt idx="2">
                  <c:v>0.23524904214559386</c:v>
                </c:pt>
                <c:pt idx="3">
                  <c:v>7.0498084291187743E-2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A-47A3-9ABA-66ACF5064053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'7.统计'!$F$29:$I$29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'7.统计'!$F$36:$I$36</c:f>
              <c:numCache>
                <c:formatCode>0.00%</c:formatCode>
                <c:ptCount val="4"/>
                <c:pt idx="0">
                  <c:v>0.19927007299270072</c:v>
                </c:pt>
                <c:pt idx="1">
                  <c:v>0.51240875912408756</c:v>
                </c:pt>
                <c:pt idx="2">
                  <c:v>0.18832116788321168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A-47A3-9ABA-66ACF5064053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'7.统计'!$F$29:$I$29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'7.统计'!$F$37:$I$37</c:f>
              <c:numCache>
                <c:formatCode>0.00%</c:formatCode>
                <c:ptCount val="4"/>
                <c:pt idx="0">
                  <c:v>0.38095238095238093</c:v>
                </c:pt>
                <c:pt idx="1">
                  <c:v>0.4076190476190476</c:v>
                </c:pt>
                <c:pt idx="2">
                  <c:v>5.7619047619047618E-2</c:v>
                </c:pt>
                <c:pt idx="3">
                  <c:v>0.15380952380952381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1A-47A3-9ABA-66ACF50640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多元资产配置的主要意义是什么：总体（可多选）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FCC-4B0E-8D34-CB96BC59E73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FCC-4B0E-8D34-CB96BC59E7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FCC-4B0E-8D34-CB96BC59E73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FCC-4B0E-8D34-CB96BC59E7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'7.统计'!$M$3:$P$3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'7.统计'!$M$5:$P$5</c:f>
              <c:numCache>
                <c:formatCode>0.00%</c:formatCode>
                <c:ptCount val="4"/>
                <c:pt idx="0">
                  <c:v>0.42888765910348642</c:v>
                </c:pt>
                <c:pt idx="1">
                  <c:v>0.73971591957203464</c:v>
                </c:pt>
                <c:pt idx="2">
                  <c:v>0.36709094263051095</c:v>
                </c:pt>
                <c:pt idx="3">
                  <c:v>0.20918649695628114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FCC-4B0E-8D34-CB96BC59E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在未来的投资规划中如何考虑资产配置：总体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B5-4BD3-B5D9-42246D7E4A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B5-4BD3-B5D9-42246D7E4A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B5-4BD3-B5D9-42246D7E4A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B5-4BD3-B5D9-42246D7E4A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'7.统计'!$Q$3:$S$3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'7.统计'!$Q$5:$S$5</c:f>
              <c:numCache>
                <c:formatCode>0.00%</c:formatCode>
                <c:ptCount val="3"/>
                <c:pt idx="0">
                  <c:v>0.56650064563733626</c:v>
                </c:pt>
                <c:pt idx="1">
                  <c:v>0.34809075816270063</c:v>
                </c:pt>
                <c:pt idx="2">
                  <c:v>8.5408596199963105E-2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B5-4BD3-B5D9-42246D7E4A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希望如何实现多元资产配置：总体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55-4BEE-868C-7DEDAD4495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55-4BEE-868C-7DEDAD4495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55-4BEE-868C-7DEDAD4495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55-4BEE-868C-7DEDAD4495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'7.统计'!$T$3:$V$3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'7.统计'!$T$5:$V$5</c:f>
              <c:numCache>
                <c:formatCode>0.00%</c:formatCode>
                <c:ptCount val="3"/>
                <c:pt idx="0">
                  <c:v>0.33720715735104223</c:v>
                </c:pt>
                <c:pt idx="1">
                  <c:v>0.43571296808706883</c:v>
                </c:pt>
                <c:pt idx="2">
                  <c:v>0.22707987456188894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55-4BEE-868C-7DEDAD4495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65-4659-9891-8D492895F09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65-4659-9891-8D492895F09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65-4659-9891-8D492895F09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65-4659-9891-8D492895F0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'7.统计'!$W$3:$AB$3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'7.统计'!$W$5:$AB$5</c:f>
              <c:numCache>
                <c:formatCode>0.00%</c:formatCode>
                <c:ptCount val="6"/>
                <c:pt idx="0">
                  <c:v>0.46559675336653755</c:v>
                </c:pt>
                <c:pt idx="1">
                  <c:v>0.61925843940232428</c:v>
                </c:pt>
                <c:pt idx="2">
                  <c:v>0.45268400664084119</c:v>
                </c:pt>
                <c:pt idx="3">
                  <c:v>0.15347721822541965</c:v>
                </c:pt>
                <c:pt idx="4">
                  <c:v>0.27873086146467441</c:v>
                </c:pt>
                <c:pt idx="5">
                  <c:v>4.501014572957019E-2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65-4659-9891-8D492895F0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CD-46A1-B6D5-3340A4D029F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CD-46A1-B6D5-3340A4D029F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CD-46A1-B6D5-3340A4D029F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CD-46A1-B6D5-3340A4D029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'7.统计'!$AC$3:$AE$3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'7.统计'!$AC$5:$AE$5</c:f>
              <c:numCache>
                <c:formatCode>0.00%</c:formatCode>
                <c:ptCount val="3"/>
                <c:pt idx="0">
                  <c:v>0.42464489946504336</c:v>
                </c:pt>
                <c:pt idx="1">
                  <c:v>0.46615015679763883</c:v>
                </c:pt>
                <c:pt idx="2">
                  <c:v>0.10883600811658366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CD-46A1-B6D5-3340A4D029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投资海外金融资产占总金融资产的比例：总体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56-4AC4-A8D5-712997EAA96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56-4AC4-A8D5-712997EAA96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56-4AC4-A8D5-712997EAA96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56-4AC4-A8D5-712997EAA9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'7.统计'!$AF$3:$AI$3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'7.统计'!$AF$5:$AI$5</c:f>
              <c:numCache>
                <c:formatCode>0.00%</c:formatCode>
                <c:ptCount val="4"/>
                <c:pt idx="0">
                  <c:v>0.20254565578306585</c:v>
                </c:pt>
                <c:pt idx="1">
                  <c:v>0.3888581442538277</c:v>
                </c:pt>
                <c:pt idx="2">
                  <c:v>0.26231322634200332</c:v>
                </c:pt>
                <c:pt idx="3">
                  <c:v>0.10477771628850766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56-4AC4-A8D5-712997EAA9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BB-4E31-A666-6153338734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BB-4E31-A666-6153338734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BB-4E31-A666-6153338734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BB-4E31-A666-6153338734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'7.统计'!$AJ$3:$AO$3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'7.统计'!$AJ$5:$AO$5</c:f>
              <c:numCache>
                <c:formatCode>0.00%</c:formatCode>
                <c:ptCount val="6"/>
                <c:pt idx="0">
                  <c:v>0.66924921601180598</c:v>
                </c:pt>
                <c:pt idx="1">
                  <c:v>0.22966242390702823</c:v>
                </c:pt>
                <c:pt idx="2">
                  <c:v>0.15513742851872347</c:v>
                </c:pt>
                <c:pt idx="3">
                  <c:v>0.29551743220807969</c:v>
                </c:pt>
                <c:pt idx="4">
                  <c:v>6.5117137059583108E-2</c:v>
                </c:pt>
                <c:pt idx="5">
                  <c:v>6.6223943921785655E-2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BB-4E31-A666-6153338734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59-43DC-8B46-11FE332F9E3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59-43DC-8B46-11FE332F9E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59-43DC-8B46-11FE332F9E3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59-43DC-8B46-11FE332F9E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'7.统计'!$AP$3:$AU$3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'7.统计'!$AP$5:$AU$5</c:f>
              <c:numCache>
                <c:formatCode>0.00%</c:formatCode>
                <c:ptCount val="6"/>
                <c:pt idx="0">
                  <c:v>0.15034126544917911</c:v>
                </c:pt>
                <c:pt idx="1">
                  <c:v>0.39918834163438482</c:v>
                </c:pt>
                <c:pt idx="2">
                  <c:v>0.23132263420033206</c:v>
                </c:pt>
                <c:pt idx="3">
                  <c:v>0.5148496587345508</c:v>
                </c:pt>
                <c:pt idx="4">
                  <c:v>0.14001106806862201</c:v>
                </c:pt>
                <c:pt idx="5">
                  <c:v>3.4311012728278918E-2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59-43DC-8B46-11FE332F9E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E5-424A-9D2C-F688A9E403A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E5-424A-9D2C-F688A9E403A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E5-424A-9D2C-F688A9E403A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E5-424A-9D2C-F688A9E403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'7.统计'!$AV$3:$BA$3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'7.统计'!$AV$5:$BA$5</c:f>
              <c:numCache>
                <c:formatCode>0.00%</c:formatCode>
                <c:ptCount val="6"/>
                <c:pt idx="0">
                  <c:v>0.39033388673676445</c:v>
                </c:pt>
                <c:pt idx="1">
                  <c:v>0.31949824755580153</c:v>
                </c:pt>
                <c:pt idx="2">
                  <c:v>0.4174506548607268</c:v>
                </c:pt>
                <c:pt idx="3">
                  <c:v>0.34532374100719426</c:v>
                </c:pt>
                <c:pt idx="4">
                  <c:v>0.14240914960339421</c:v>
                </c:pt>
                <c:pt idx="5">
                  <c:v>7.0282235749861643E-2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E5-424A-9D2C-F688A9E403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A8-45DA-BB48-7A79ED52D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A8-45DA-BB48-7A79ED52D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A8-45DA-BB48-7A79ED52D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A8-45DA-BB48-7A79ED52D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'7.统计'!$BB$3:$BE$3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'7.统计'!$BB$5:$BE$5</c:f>
              <c:numCache>
                <c:formatCode>0.00%</c:formatCode>
                <c:ptCount val="4"/>
                <c:pt idx="0">
                  <c:v>0.26526471130787677</c:v>
                </c:pt>
                <c:pt idx="1">
                  <c:v>0.31396421324478879</c:v>
                </c:pt>
                <c:pt idx="2">
                  <c:v>0.2602840804279653</c:v>
                </c:pt>
                <c:pt idx="3">
                  <c:v>0.16048699501936911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A8-45DA-BB48-7A79ED52D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2752688"/>
        <c:axId val="152758928"/>
      </c:barChart>
      <c:catAx>
        <c:axId val="1527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8928"/>
        <c:crosses val="autoZero"/>
        <c:auto val="1"/>
        <c:lblAlgn val="ctr"/>
        <c:lblOffset val="100"/>
        <c:noMultiLvlLbl val="0"/>
      </c:catAx>
      <c:valAx>
        <c:axId val="152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'7.统计'!$M$9:$P$9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'7.统计'!$M$12:$P$12</c:f>
              <c:numCache>
                <c:formatCode>0.00%</c:formatCode>
                <c:ptCount val="4"/>
                <c:pt idx="0">
                  <c:v>0.42679821769573523</c:v>
                </c:pt>
                <c:pt idx="1">
                  <c:v>0.71642266072565242</c:v>
                </c:pt>
                <c:pt idx="2">
                  <c:v>0.35805219605346911</c:v>
                </c:pt>
                <c:pt idx="3">
                  <c:v>0.19923615531508593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2-456D-B194-D76BCF447A5C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'7.统计'!$M$9:$P$9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'7.统计'!$M$13:$P$13</c:f>
              <c:numCache>
                <c:formatCode>0.00%</c:formatCode>
                <c:ptCount val="4"/>
                <c:pt idx="0">
                  <c:v>0.43176831943835015</c:v>
                </c:pt>
                <c:pt idx="1">
                  <c:v>0.77182974989030273</c:v>
                </c:pt>
                <c:pt idx="2">
                  <c:v>0.37955243527863097</c:v>
                </c:pt>
                <c:pt idx="3">
                  <c:v>0.22290478279947346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F2-456D-B194-D76BCF447A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'7.统计'!$Q$9:$S$9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'7.统计'!$Q$12:$S$12</c:f>
              <c:numCache>
                <c:formatCode>0.00%</c:formatCode>
                <c:ptCount val="3"/>
                <c:pt idx="0">
                  <c:v>0.57129217059197968</c:v>
                </c:pt>
                <c:pt idx="1">
                  <c:v>0.34213876511775937</c:v>
                </c:pt>
                <c:pt idx="2">
                  <c:v>8.6569064290260983E-2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3-4FEE-BEE2-8BE22EE0A00E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'7.统计'!$Q$9:$S$9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'7.统计'!$Q$13:$S$13</c:f>
              <c:numCache>
                <c:formatCode>0.00%</c:formatCode>
                <c:ptCount val="3"/>
                <c:pt idx="0">
                  <c:v>0.55989469065379549</c:v>
                </c:pt>
                <c:pt idx="1">
                  <c:v>0.35629662132514262</c:v>
                </c:pt>
                <c:pt idx="2">
                  <c:v>8.3808688021061867E-2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3-4FEE-BEE2-8BE22EE0A0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'7.统计'!$T$9:$V$9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'7.统计'!$T$12:$V$12</c:f>
              <c:numCache>
                <c:formatCode>0.00%</c:formatCode>
                <c:ptCount val="3"/>
                <c:pt idx="0">
                  <c:v>0.35264162953532779</c:v>
                </c:pt>
                <c:pt idx="1">
                  <c:v>0.43284532145130489</c:v>
                </c:pt>
                <c:pt idx="2">
                  <c:v>0.21451304901336729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E-4C29-B320-187C8B38E391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'7.统计'!$T$9:$V$9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'7.统计'!$T$13:$V$13</c:f>
              <c:numCache>
                <c:formatCode>0.00%</c:formatCode>
                <c:ptCount val="3"/>
                <c:pt idx="0">
                  <c:v>0.31592803861342694</c:v>
                </c:pt>
                <c:pt idx="1">
                  <c:v>0.43966652040368581</c:v>
                </c:pt>
                <c:pt idx="2">
                  <c:v>0.24440544098288722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E-4C29-B320-187C8B38E3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'7.统计'!$W$9:$AB$9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'7.统计'!$W$12:$AB$12</c:f>
              <c:numCache>
                <c:formatCode>0.00%</c:formatCode>
                <c:ptCount val="6"/>
                <c:pt idx="0">
                  <c:v>0.48504137492043287</c:v>
                </c:pt>
                <c:pt idx="1">
                  <c:v>0.59929980903882873</c:v>
                </c:pt>
                <c:pt idx="2">
                  <c:v>0.45321451304901339</c:v>
                </c:pt>
                <c:pt idx="3">
                  <c:v>0.16072565245066836</c:v>
                </c:pt>
                <c:pt idx="4">
                  <c:v>0.26798217695735199</c:v>
                </c:pt>
                <c:pt idx="5">
                  <c:v>4.4875875238701464E-2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6-4D14-8DED-905CC46562C5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'7.统计'!$W$9:$AB$9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'7.统计'!$W$13:$AB$13</c:f>
              <c:numCache>
                <c:formatCode>0.00%</c:formatCode>
                <c:ptCount val="6"/>
                <c:pt idx="0">
                  <c:v>0.43878894251864853</c:v>
                </c:pt>
                <c:pt idx="1">
                  <c:v>0.64677490127248793</c:v>
                </c:pt>
                <c:pt idx="2">
                  <c:v>0.45195261079420801</c:v>
                </c:pt>
                <c:pt idx="3">
                  <c:v>0.14348398420359806</c:v>
                </c:pt>
                <c:pt idx="4">
                  <c:v>0.29354980254497587</c:v>
                </c:pt>
                <c:pt idx="5">
                  <c:v>4.5195261079420797E-2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6-4D14-8DED-905CC46562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'7.统计'!$AC$9:$AE$9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'7.统计'!$AC$12:$AE$12</c:f>
              <c:numCache>
                <c:formatCode>0.00%</c:formatCode>
                <c:ptCount val="3"/>
                <c:pt idx="0">
                  <c:v>0.46212603437301081</c:v>
                </c:pt>
                <c:pt idx="1">
                  <c:v>0.43284532145130489</c:v>
                </c:pt>
                <c:pt idx="2">
                  <c:v>0.10471037555697009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2-4BF7-AB73-717306C8CA01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'7.统计'!$AC$9:$AE$9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'7.统计'!$AC$13:$AE$13</c:f>
              <c:numCache>
                <c:formatCode>0.00%</c:formatCode>
                <c:ptCount val="3"/>
                <c:pt idx="0">
                  <c:v>0.37297060114085123</c:v>
                </c:pt>
                <c:pt idx="1">
                  <c:v>0.51206669591926279</c:v>
                </c:pt>
                <c:pt idx="2">
                  <c:v>0.11452391399736726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2-4BF7-AB73-717306C8CA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3672018475168086E-2"/>
          <c:y val="0.18192090395480226"/>
          <c:w val="0.89430595950280989"/>
          <c:h val="0.615885048267271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'7.统计'!$AF$9:$AI$9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'7.统计'!$AF$12:$AI$12</c:f>
              <c:numCache>
                <c:formatCode>0.00%</c:formatCode>
                <c:ptCount val="4"/>
                <c:pt idx="0">
                  <c:v>0.19509866327180139</c:v>
                </c:pt>
                <c:pt idx="1">
                  <c:v>0.38415022278803312</c:v>
                </c:pt>
                <c:pt idx="2">
                  <c:v>0.25747931253978357</c:v>
                </c:pt>
                <c:pt idx="3">
                  <c:v>0.11744112030553787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9-49F1-BC48-D54C366BD6C6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'7.统计'!$AF$9:$AI$9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'7.统计'!$AF$13:$AI$13</c:f>
              <c:numCache>
                <c:formatCode>0.00%</c:formatCode>
                <c:ptCount val="4"/>
                <c:pt idx="0">
                  <c:v>0.21281263712154452</c:v>
                </c:pt>
                <c:pt idx="1">
                  <c:v>0.39534883720930231</c:v>
                </c:pt>
                <c:pt idx="2">
                  <c:v>0.26897762176393153</c:v>
                </c:pt>
                <c:pt idx="3">
                  <c:v>8.7318999561211058E-2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9-49F1-BC48-D54C366BD6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'7.统计'!$AJ$9:$AO$9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'7.统计'!$AJ$12:$AO$12</c:f>
              <c:numCache>
                <c:formatCode>0.00%</c:formatCode>
                <c:ptCount val="6"/>
                <c:pt idx="0">
                  <c:v>0.65690642902609808</c:v>
                </c:pt>
                <c:pt idx="1">
                  <c:v>0.22692552514322087</c:v>
                </c:pt>
                <c:pt idx="2">
                  <c:v>0.16836409929980903</c:v>
                </c:pt>
                <c:pt idx="3">
                  <c:v>0.29535327816677276</c:v>
                </c:pt>
                <c:pt idx="4">
                  <c:v>7.6384468491406746E-2</c:v>
                </c:pt>
                <c:pt idx="5">
                  <c:v>5.9834500318268619E-2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9-4B42-8A7B-EE9E1E79F360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'7.统计'!$AJ$9:$AO$9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'7.统计'!$AJ$13:$AO$13</c:f>
              <c:numCache>
                <c:formatCode>0.00%</c:formatCode>
                <c:ptCount val="6"/>
                <c:pt idx="0">
                  <c:v>0.68626590609916627</c:v>
                </c:pt>
                <c:pt idx="1">
                  <c:v>0.23343571741992103</c:v>
                </c:pt>
                <c:pt idx="2">
                  <c:v>0.13690215006581835</c:v>
                </c:pt>
                <c:pt idx="3">
                  <c:v>0.29574374725756913</c:v>
                </c:pt>
                <c:pt idx="4">
                  <c:v>4.9583150504607286E-2</c:v>
                </c:pt>
                <c:pt idx="5">
                  <c:v>7.5032909170688902E-2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9-4B42-8A7B-EE9E1E79F3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'7.统计'!$AP$9:$AU$9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'7.统计'!$AP$12:$AU$12</c:f>
              <c:numCache>
                <c:formatCode>0.00%</c:formatCode>
                <c:ptCount val="6"/>
                <c:pt idx="0">
                  <c:v>0.15372374283895607</c:v>
                </c:pt>
                <c:pt idx="1">
                  <c:v>0.40101845957988541</c:v>
                </c:pt>
                <c:pt idx="2">
                  <c:v>0.22628898790579249</c:v>
                </c:pt>
                <c:pt idx="3">
                  <c:v>0.51336728198599613</c:v>
                </c:pt>
                <c:pt idx="4">
                  <c:v>0.14067472947167409</c:v>
                </c:pt>
                <c:pt idx="5">
                  <c:v>3.373647358370465E-2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E-4A32-9554-39938F98C817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'7.统计'!$AP$9:$AU$9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'7.统计'!$AP$13:$AU$13</c:f>
              <c:numCache>
                <c:formatCode>0.00%</c:formatCode>
                <c:ptCount val="6"/>
                <c:pt idx="0">
                  <c:v>0.1456779289161913</c:v>
                </c:pt>
                <c:pt idx="1">
                  <c:v>0.39666520403685829</c:v>
                </c:pt>
                <c:pt idx="2">
                  <c:v>0.23826239578762615</c:v>
                </c:pt>
                <c:pt idx="3">
                  <c:v>0.51689337428696802</c:v>
                </c:pt>
                <c:pt idx="4">
                  <c:v>0.13909609477841159</c:v>
                </c:pt>
                <c:pt idx="5">
                  <c:v>3.5103115401491886E-2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E-4A32-9554-39938F98C8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'7.统计'!$AV$9:$BA$9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'7.统计'!$AV$12:$BA$12</c:f>
              <c:numCache>
                <c:formatCode>0.00%</c:formatCode>
                <c:ptCount val="6"/>
                <c:pt idx="0">
                  <c:v>0.40070019096117121</c:v>
                </c:pt>
                <c:pt idx="1">
                  <c:v>0.32145130490133672</c:v>
                </c:pt>
                <c:pt idx="2">
                  <c:v>0.40197326543602802</c:v>
                </c:pt>
                <c:pt idx="3">
                  <c:v>0.34213876511775937</c:v>
                </c:pt>
                <c:pt idx="4">
                  <c:v>0.14449395289624442</c:v>
                </c:pt>
                <c:pt idx="5">
                  <c:v>6.206238064926798E-2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1-48ED-9D4A-31E3539C17A0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'7.统计'!$AV$9:$BA$9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'7.统计'!$AV$13:$BA$13</c:f>
              <c:numCache>
                <c:formatCode>0.00%</c:formatCode>
                <c:ptCount val="6"/>
                <c:pt idx="0">
                  <c:v>0.37604212373848178</c:v>
                </c:pt>
                <c:pt idx="1">
                  <c:v>0.31680561649846423</c:v>
                </c:pt>
                <c:pt idx="2">
                  <c:v>0.43878894251864853</c:v>
                </c:pt>
                <c:pt idx="3">
                  <c:v>0.34971478718736287</c:v>
                </c:pt>
                <c:pt idx="4">
                  <c:v>0.13953488372093023</c:v>
                </c:pt>
                <c:pt idx="5">
                  <c:v>8.1614743308468629E-2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1-48ED-9D4A-31E3539C17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'7.统计'!$E$12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'7.统计'!$BB$9:$BE$9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'7.统计'!$BB$12:$BE$12</c:f>
              <c:numCache>
                <c:formatCode>0.00%</c:formatCode>
                <c:ptCount val="4"/>
                <c:pt idx="0">
                  <c:v>0.26352641629535328</c:v>
                </c:pt>
                <c:pt idx="1">
                  <c:v>0.3115849777211967</c:v>
                </c:pt>
                <c:pt idx="2">
                  <c:v>0.2498408656906429</c:v>
                </c:pt>
                <c:pt idx="3">
                  <c:v>0.17504774029280712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3-4677-A2A3-7E03734BFE44}"/>
            </c:ext>
          </c:extLst>
        </c:ser>
        <c:ser>
          <c:idx val="1"/>
          <c:order val="1"/>
          <c:tx>
            <c:strRef>
              <c:f>'7.统计'!$E$13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'7.统计'!$BB$9:$BE$9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'7.统计'!$BB$13:$BE$13</c:f>
              <c:numCache>
                <c:formatCode>0.00%</c:formatCode>
                <c:ptCount val="4"/>
                <c:pt idx="0">
                  <c:v>0.2676612549363756</c:v>
                </c:pt>
                <c:pt idx="1">
                  <c:v>0.31724440544098287</c:v>
                </c:pt>
                <c:pt idx="2">
                  <c:v>0.27468187801667399</c:v>
                </c:pt>
                <c:pt idx="3">
                  <c:v>0.14041246160596754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3-4677-A2A3-7E03734BFE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93519"/>
        <c:axId val="1789173359"/>
      </c:barChart>
      <c:catAx>
        <c:axId val="17891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73359"/>
        <c:crosses val="autoZero"/>
        <c:auto val="1"/>
        <c:lblAlgn val="ctr"/>
        <c:lblOffset val="100"/>
        <c:noMultiLvlLbl val="0"/>
      </c:catAx>
      <c:valAx>
        <c:axId val="17891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'7.统计'!$J$17:$L$17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'7.统计'!$J$22:$L$22</c:f>
              <c:numCache>
                <c:formatCode>0.00%</c:formatCode>
                <c:ptCount val="3"/>
                <c:pt idx="0">
                  <c:v>0.48159057437407954</c:v>
                </c:pt>
                <c:pt idx="1">
                  <c:v>0.44624447717231225</c:v>
                </c:pt>
                <c:pt idx="2">
                  <c:v>7.2164948453608241E-2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9-4C22-AAED-EAE0E9FAF4F1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'7.统计'!$J$17:$L$17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'7.统计'!$J$23:$L$23</c:f>
              <c:numCache>
                <c:formatCode>0.00%</c:formatCode>
                <c:ptCount val="3"/>
                <c:pt idx="0">
                  <c:v>0.47418397626112757</c:v>
                </c:pt>
                <c:pt idx="1">
                  <c:v>0.47062314540059347</c:v>
                </c:pt>
                <c:pt idx="2">
                  <c:v>5.5192878338278933E-2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9-4C22-AAED-EAE0E9FAF4F1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'7.统计'!$J$17:$L$17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'7.统计'!$J$24:$L$24</c:f>
              <c:numCache>
                <c:formatCode>0.00%</c:formatCode>
                <c:ptCount val="3"/>
                <c:pt idx="0">
                  <c:v>0.47897362794012832</c:v>
                </c:pt>
                <c:pt idx="1">
                  <c:v>0.46044191019244474</c:v>
                </c:pt>
                <c:pt idx="2">
                  <c:v>6.0584461867426942E-2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9-4C22-AAED-EAE0E9FAF4F1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'7.统计'!$J$17:$L$17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'7.统计'!$J$25:$L$25</c:f>
              <c:numCache>
                <c:formatCode>0.00%</c:formatCode>
                <c:ptCount val="3"/>
                <c:pt idx="0">
                  <c:v>0.49818621523579204</c:v>
                </c:pt>
                <c:pt idx="1">
                  <c:v>0.44981862152357921</c:v>
                </c:pt>
                <c:pt idx="2">
                  <c:v>5.1995163240628778E-2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F9-4C22-AAED-EAE0E9FAF4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'7.统计'!$M$17:$P$17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'7.统计'!$M$22:$P$22</c:f>
              <c:numCache>
                <c:formatCode>0.00%</c:formatCode>
                <c:ptCount val="4"/>
                <c:pt idx="0">
                  <c:v>0.45213549337260678</c:v>
                </c:pt>
                <c:pt idx="1">
                  <c:v>0.61561119293078059</c:v>
                </c:pt>
                <c:pt idx="2">
                  <c:v>0.32106038291605304</c:v>
                </c:pt>
                <c:pt idx="3">
                  <c:v>0.1796759941089838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3-41A2-AC96-A019AB66EEAD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'7.统计'!$M$17:$P$17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'7.统计'!$M$23:$P$23</c:f>
              <c:numCache>
                <c:formatCode>0.00%</c:formatCode>
                <c:ptCount val="4"/>
                <c:pt idx="0">
                  <c:v>0.41424332344213649</c:v>
                </c:pt>
                <c:pt idx="1">
                  <c:v>0.72106824925816027</c:v>
                </c:pt>
                <c:pt idx="2">
                  <c:v>0.3632047477744807</c:v>
                </c:pt>
                <c:pt idx="3">
                  <c:v>0.21364985163204747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3-41A2-AC96-A019AB66EEAD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'7.统计'!$M$17:$P$17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'7.统计'!$M$24:$P$24</c:f>
              <c:numCache>
                <c:formatCode>0.00%</c:formatCode>
                <c:ptCount val="4"/>
                <c:pt idx="0">
                  <c:v>0.42551674982181042</c:v>
                </c:pt>
                <c:pt idx="1">
                  <c:v>0.74554526015680689</c:v>
                </c:pt>
                <c:pt idx="2">
                  <c:v>0.4148253741981468</c:v>
                </c:pt>
                <c:pt idx="3">
                  <c:v>0.20669992872416251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3-41A2-AC96-A019AB66EEAD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'7.统计'!$M$17:$P$17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'7.统计'!$M$25:$P$25</c:f>
              <c:numCache>
                <c:formatCode>0.00%</c:formatCode>
                <c:ptCount val="4"/>
                <c:pt idx="0">
                  <c:v>0.43712212817412333</c:v>
                </c:pt>
                <c:pt idx="1">
                  <c:v>0.80471584038694077</c:v>
                </c:pt>
                <c:pt idx="2">
                  <c:v>0.34945586457073763</c:v>
                </c:pt>
                <c:pt idx="3">
                  <c:v>0.21886336154776301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93-41A2-AC96-A019AB66EE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'7.统计'!$Q$17:$S$17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'7.统计'!$Q$22:$S$22</c:f>
              <c:numCache>
                <c:formatCode>0.00%</c:formatCode>
                <c:ptCount val="3"/>
                <c:pt idx="0">
                  <c:v>0.5625920471281296</c:v>
                </c:pt>
                <c:pt idx="1">
                  <c:v>0.3328424153166421</c:v>
                </c:pt>
                <c:pt idx="2">
                  <c:v>0.10456553755522828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C-43E0-9602-C645DBBFDDEC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'7.统计'!$Q$17:$S$17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'7.统计'!$Q$23:$S$23</c:f>
              <c:numCache>
                <c:formatCode>0.00%</c:formatCode>
                <c:ptCount val="3"/>
                <c:pt idx="0">
                  <c:v>0.5400593471810089</c:v>
                </c:pt>
                <c:pt idx="1">
                  <c:v>0.37863501483679524</c:v>
                </c:pt>
                <c:pt idx="2">
                  <c:v>8.1305637982195852E-2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C-43E0-9602-C645DBBFDDEC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'7.统计'!$Q$17:$S$17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'7.统计'!$Q$24:$S$24</c:f>
              <c:numCache>
                <c:formatCode>0.00%</c:formatCode>
                <c:ptCount val="3"/>
                <c:pt idx="0">
                  <c:v>0.57448325017818958</c:v>
                </c:pt>
                <c:pt idx="1">
                  <c:v>0.34212401995723452</c:v>
                </c:pt>
                <c:pt idx="2">
                  <c:v>8.339272986457591E-2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5C-43E0-9602-C645DBBFDDEC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'7.统计'!$Q$17:$S$17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'7.统计'!$Q$25:$S$25</c:f>
              <c:numCache>
                <c:formatCode>0.00%</c:formatCode>
                <c:ptCount val="3"/>
                <c:pt idx="0">
                  <c:v>0.58827085852478844</c:v>
                </c:pt>
                <c:pt idx="1">
                  <c:v>0.32829504232164453</c:v>
                </c:pt>
                <c:pt idx="2">
                  <c:v>8.3434099153567115E-2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5C-43E0-9602-C645DBBFDD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'7.统计'!$T$17:$V$17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'7.统计'!$T$22:$V$22</c:f>
              <c:numCache>
                <c:formatCode>0.00%</c:formatCode>
                <c:ptCount val="3"/>
                <c:pt idx="0">
                  <c:v>0.39617083946980852</c:v>
                </c:pt>
                <c:pt idx="1">
                  <c:v>0.42415316642120765</c:v>
                </c:pt>
                <c:pt idx="2">
                  <c:v>0.1796759941089838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B-4726-9EF5-7308C212B62D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'7.统计'!$T$17:$V$17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'7.统计'!$T$23:$V$23</c:f>
              <c:numCache>
                <c:formatCode>0.00%</c:formatCode>
                <c:ptCount val="3"/>
                <c:pt idx="0">
                  <c:v>0.3341246290801187</c:v>
                </c:pt>
                <c:pt idx="1">
                  <c:v>0.45222551928783383</c:v>
                </c:pt>
                <c:pt idx="2">
                  <c:v>0.21364985163204747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B-4726-9EF5-7308C212B62D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'7.统计'!$T$17:$V$17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'7.统计'!$T$24:$V$24</c:f>
              <c:numCache>
                <c:formatCode>0.00%</c:formatCode>
                <c:ptCount val="3"/>
                <c:pt idx="0">
                  <c:v>0.3050605844618674</c:v>
                </c:pt>
                <c:pt idx="1">
                  <c:v>0.44761225944404848</c:v>
                </c:pt>
                <c:pt idx="2">
                  <c:v>0.24732715609408409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B-4726-9EF5-7308C212B62D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'7.统计'!$T$17:$V$17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'7.统计'!$T$25:$V$25</c:f>
              <c:numCache>
                <c:formatCode>0.00%</c:formatCode>
                <c:ptCount val="3"/>
                <c:pt idx="0">
                  <c:v>0.343409915356711</c:v>
                </c:pt>
                <c:pt idx="1">
                  <c:v>0.41354292623941957</c:v>
                </c:pt>
                <c:pt idx="2">
                  <c:v>0.2430471584038694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AB-4726-9EF5-7308C212B6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'7.统计'!$W$17:$AB$17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'7.统计'!$W$22:$AB$22</c:f>
              <c:numCache>
                <c:formatCode>0.00%</c:formatCode>
                <c:ptCount val="6"/>
                <c:pt idx="0">
                  <c:v>0.45213549337260678</c:v>
                </c:pt>
                <c:pt idx="1">
                  <c:v>0.5802650957290133</c:v>
                </c:pt>
                <c:pt idx="2">
                  <c:v>0.45655375552282768</c:v>
                </c:pt>
                <c:pt idx="3">
                  <c:v>0.13402061855670103</c:v>
                </c:pt>
                <c:pt idx="4">
                  <c:v>0.21207658321060383</c:v>
                </c:pt>
                <c:pt idx="5">
                  <c:v>3.8291605301914583E-2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8-4AF2-A2A3-581506CB447F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'7.统计'!$W$17:$AB$17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'7.统计'!$W$23:$AB$23</c:f>
              <c:numCache>
                <c:formatCode>0.00%</c:formatCode>
                <c:ptCount val="6"/>
                <c:pt idx="0">
                  <c:v>0.44332344213649849</c:v>
                </c:pt>
                <c:pt idx="1">
                  <c:v>0.58456973293768544</c:v>
                </c:pt>
                <c:pt idx="2">
                  <c:v>0.46350148367952521</c:v>
                </c:pt>
                <c:pt idx="3">
                  <c:v>0.17270029673590503</c:v>
                </c:pt>
                <c:pt idx="4">
                  <c:v>0.22729970326409496</c:v>
                </c:pt>
                <c:pt idx="5">
                  <c:v>2.8486646884272996E-2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8-4AF2-A2A3-581506CB447F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'7.统计'!$W$17:$AB$17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'7.统计'!$W$24:$AB$24</c:f>
              <c:numCache>
                <c:formatCode>0.00%</c:formatCode>
                <c:ptCount val="6"/>
                <c:pt idx="0">
                  <c:v>0.48538845331432645</c:v>
                </c:pt>
                <c:pt idx="1">
                  <c:v>0.61225944404846755</c:v>
                </c:pt>
                <c:pt idx="2">
                  <c:v>0.47113328581610836</c:v>
                </c:pt>
                <c:pt idx="3">
                  <c:v>0.17747683535281539</c:v>
                </c:pt>
                <c:pt idx="4">
                  <c:v>0.30862437633642198</c:v>
                </c:pt>
                <c:pt idx="5">
                  <c:v>4.2052744119743406E-2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D8-4AF2-A2A3-581506CB447F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'7.统计'!$W$17:$AB$17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'7.统计'!$W$25:$AB$25</c:f>
              <c:numCache>
                <c:formatCode>0.00%</c:formatCode>
                <c:ptCount val="6"/>
                <c:pt idx="0">
                  <c:v>0.47702539298669894</c:v>
                </c:pt>
                <c:pt idx="1">
                  <c:v>0.67654171704957677</c:v>
                </c:pt>
                <c:pt idx="2">
                  <c:v>0.4244256348246675</c:v>
                </c:pt>
                <c:pt idx="3">
                  <c:v>0.1215235792019347</c:v>
                </c:pt>
                <c:pt idx="4">
                  <c:v>0.33313180169286577</c:v>
                </c:pt>
                <c:pt idx="5">
                  <c:v>6.7110036275695284E-2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D8-4AF2-A2A3-581506CB44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'7.统计'!$AC$17:$AE$17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'7.统计'!$AC$22:$AE$22</c:f>
              <c:numCache>
                <c:formatCode>0.00%</c:formatCode>
                <c:ptCount val="3"/>
                <c:pt idx="0">
                  <c:v>0.42709867452135492</c:v>
                </c:pt>
                <c:pt idx="1">
                  <c:v>0.4329896907216495</c:v>
                </c:pt>
                <c:pt idx="2">
                  <c:v>0.13843888070692195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B-4925-9919-AD09AEB23643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'7.统计'!$AC$17:$AE$17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'7.统计'!$AC$23:$AE$23</c:f>
              <c:numCache>
                <c:formatCode>0.00%</c:formatCode>
                <c:ptCount val="3"/>
                <c:pt idx="0">
                  <c:v>0.45400593471810091</c:v>
                </c:pt>
                <c:pt idx="1">
                  <c:v>0.46468842729970328</c:v>
                </c:pt>
                <c:pt idx="2">
                  <c:v>8.1305637982195852E-2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B-4925-9919-AD09AEB23643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'7.统计'!$AC$17:$AE$17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'7.统计'!$AC$24:$AE$24</c:f>
              <c:numCache>
                <c:formatCode>0.00%</c:formatCode>
                <c:ptCount val="3"/>
                <c:pt idx="0">
                  <c:v>0.41268709907341411</c:v>
                </c:pt>
                <c:pt idx="1">
                  <c:v>0.48610121168923737</c:v>
                </c:pt>
                <c:pt idx="2">
                  <c:v>0.10049893086243764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7B-4925-9919-AD09AEB23643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'7.统计'!$AC$17:$AE$17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'7.统计'!$AC$25:$AE$25</c:f>
              <c:numCache>
                <c:formatCode>0.00%</c:formatCode>
                <c:ptCount val="3"/>
                <c:pt idx="0">
                  <c:v>0.40386940749697703</c:v>
                </c:pt>
                <c:pt idx="1">
                  <c:v>0.46432889963724305</c:v>
                </c:pt>
                <c:pt idx="2">
                  <c:v>0.13180169286577992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7B-4925-9919-AD09AEB236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投资海外金融资产占总金融资产的比例：</a:t>
            </a: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'7.统计'!$AF$17:$AI$17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'7.统计'!$AF$22:$AI$22</c:f>
              <c:numCache>
                <c:formatCode>0.00%</c:formatCode>
                <c:ptCount val="4"/>
                <c:pt idx="0">
                  <c:v>0.25920471281296026</c:v>
                </c:pt>
                <c:pt idx="1">
                  <c:v>0.39911634756995584</c:v>
                </c:pt>
                <c:pt idx="2">
                  <c:v>0.21502209131075112</c:v>
                </c:pt>
                <c:pt idx="3">
                  <c:v>9.1310751104565532E-2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E-4CF8-8EDA-6CE32F6B9903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'7.统计'!$AF$17:$AI$17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'7.统计'!$AF$23:$AI$23</c:f>
              <c:numCache>
                <c:formatCode>0.00%</c:formatCode>
                <c:ptCount val="4"/>
                <c:pt idx="0">
                  <c:v>0.1543026706231454</c:v>
                </c:pt>
                <c:pt idx="1">
                  <c:v>0.38041543026706232</c:v>
                </c:pt>
                <c:pt idx="2">
                  <c:v>0.30623145400593471</c:v>
                </c:pt>
                <c:pt idx="3">
                  <c:v>0.11513353115727003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E-4CF8-8EDA-6CE32F6B9903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'7.统计'!$AF$17:$AI$17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'7.统计'!$AF$24:$AI$24</c:f>
              <c:numCache>
                <c:formatCode>0.00%</c:formatCode>
                <c:ptCount val="4"/>
                <c:pt idx="0">
                  <c:v>0.17533856022808267</c:v>
                </c:pt>
                <c:pt idx="1">
                  <c:v>0.39059158945117606</c:v>
                </c:pt>
                <c:pt idx="2">
                  <c:v>0.26158232359230221</c:v>
                </c:pt>
                <c:pt idx="3">
                  <c:v>0.12829650748396293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E-4CF8-8EDA-6CE32F6B9903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'7.统计'!$AF$17:$AI$17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'7.统计'!$AF$25:$AI$25</c:f>
              <c:numCache>
                <c:formatCode>0.00%</c:formatCode>
                <c:ptCount val="4"/>
                <c:pt idx="0">
                  <c:v>0.25151148730350664</c:v>
                </c:pt>
                <c:pt idx="1">
                  <c:v>0.39177750906892383</c:v>
                </c:pt>
                <c:pt idx="2">
                  <c:v>0.23760580411124546</c:v>
                </c:pt>
                <c:pt idx="3">
                  <c:v>7.9806529625151154E-2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E-4CF8-8EDA-6CE32F6B99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'7.统计'!$AJ$17:$AO$17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'7.统计'!$AJ$22:$AO$22</c:f>
              <c:numCache>
                <c:formatCode>0.00%</c:formatCode>
                <c:ptCount val="6"/>
                <c:pt idx="0">
                  <c:v>0.66568483063328421</c:v>
                </c:pt>
                <c:pt idx="1">
                  <c:v>0.20471281296023564</c:v>
                </c:pt>
                <c:pt idx="2">
                  <c:v>0.1796759941089838</c:v>
                </c:pt>
                <c:pt idx="3">
                  <c:v>0.23269513991163476</c:v>
                </c:pt>
                <c:pt idx="4">
                  <c:v>6.1855670103092786E-2</c:v>
                </c:pt>
                <c:pt idx="5">
                  <c:v>5.0073637702503684E-2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4-4709-A604-FBA15AE53100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'7.统计'!$AJ$17:$AO$17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'7.统计'!$AJ$23:$AO$23</c:f>
              <c:numCache>
                <c:formatCode>0.00%</c:formatCode>
                <c:ptCount val="6"/>
                <c:pt idx="0">
                  <c:v>0.57922848664688431</c:v>
                </c:pt>
                <c:pt idx="1">
                  <c:v>0.27833827893175073</c:v>
                </c:pt>
                <c:pt idx="2">
                  <c:v>0.19584569732937684</c:v>
                </c:pt>
                <c:pt idx="3">
                  <c:v>0.28783382789317508</c:v>
                </c:pt>
                <c:pt idx="4">
                  <c:v>8.189910979228486E-2</c:v>
                </c:pt>
                <c:pt idx="5">
                  <c:v>4.6884272997032642E-2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4-4709-A604-FBA15AE53100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'7.统计'!$AJ$17:$AO$17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'7.统计'!$AJ$24:$AO$24</c:f>
              <c:numCache>
                <c:formatCode>0.00%</c:formatCode>
                <c:ptCount val="6"/>
                <c:pt idx="0">
                  <c:v>0.67498218104062724</c:v>
                </c:pt>
                <c:pt idx="1">
                  <c:v>0.24732715609408409</c:v>
                </c:pt>
                <c:pt idx="2">
                  <c:v>0.18317890235210263</c:v>
                </c:pt>
                <c:pt idx="3">
                  <c:v>0.33499643620812547</c:v>
                </c:pt>
                <c:pt idx="4">
                  <c:v>7.2701354240912328E-2</c:v>
                </c:pt>
                <c:pt idx="5">
                  <c:v>5.48823948681397E-2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B4-4709-A604-FBA15AE53100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'7.统计'!$AJ$17:$AO$17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'7.统计'!$AJ$25:$AO$25</c:f>
              <c:numCache>
                <c:formatCode>0.00%</c:formatCode>
                <c:ptCount val="6"/>
                <c:pt idx="0">
                  <c:v>0.75755743651753327</c:v>
                </c:pt>
                <c:pt idx="1">
                  <c:v>0.17533252720677148</c:v>
                </c:pt>
                <c:pt idx="2">
                  <c:v>7.9806529625151154E-2</c:v>
                </c:pt>
                <c:pt idx="3">
                  <c:v>0.29564691656590086</c:v>
                </c:pt>
                <c:pt idx="4">
                  <c:v>4.2926239419588876E-2</c:v>
                </c:pt>
                <c:pt idx="5">
                  <c:v>0.10217654171704958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B4-4709-A604-FBA15AE531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'7.统计'!$AP$17:$AU$17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'7.统计'!$AP$22:$AU$22</c:f>
              <c:numCache>
                <c:formatCode>0.00%</c:formatCode>
                <c:ptCount val="6"/>
                <c:pt idx="0">
                  <c:v>0.22091310751104565</c:v>
                </c:pt>
                <c:pt idx="1">
                  <c:v>0.32842415316642121</c:v>
                </c:pt>
                <c:pt idx="2">
                  <c:v>0.24447717231222385</c:v>
                </c:pt>
                <c:pt idx="3">
                  <c:v>0.43446244477172313</c:v>
                </c:pt>
                <c:pt idx="4">
                  <c:v>0.12665684830633284</c:v>
                </c:pt>
                <c:pt idx="5">
                  <c:v>3.6818851251840944E-2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C-4851-BFF6-49B6D0ECE952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'7.统计'!$AP$17:$AU$17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'7.统计'!$AP$23:$AU$23</c:f>
              <c:numCache>
                <c:formatCode>0.00%</c:formatCode>
                <c:ptCount val="6"/>
                <c:pt idx="0">
                  <c:v>0.11810089020771514</c:v>
                </c:pt>
                <c:pt idx="1">
                  <c:v>0.47359050445103856</c:v>
                </c:pt>
                <c:pt idx="2">
                  <c:v>0.24747774480712167</c:v>
                </c:pt>
                <c:pt idx="3">
                  <c:v>0.48308605341246291</c:v>
                </c:pt>
                <c:pt idx="4">
                  <c:v>0.12818991097922849</c:v>
                </c:pt>
                <c:pt idx="5">
                  <c:v>2.0178041543026708E-2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C-4851-BFF6-49B6D0ECE952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'7.统计'!$AP$17:$AU$17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'7.统计'!$AP$24:$AU$24</c:f>
              <c:numCache>
                <c:formatCode>0.00%</c:formatCode>
                <c:ptCount val="6"/>
                <c:pt idx="0">
                  <c:v>0.1225944404846757</c:v>
                </c:pt>
                <c:pt idx="1">
                  <c:v>0.42908054169636495</c:v>
                </c:pt>
                <c:pt idx="2">
                  <c:v>0.24447612259444049</c:v>
                </c:pt>
                <c:pt idx="3">
                  <c:v>0.56450463292943687</c:v>
                </c:pt>
                <c:pt idx="4">
                  <c:v>0.1525302922309337</c:v>
                </c:pt>
                <c:pt idx="5">
                  <c:v>2.7084818246614399E-2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C-4851-BFF6-49B6D0ECE952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'7.统计'!$AP$17:$AU$17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'7.统计'!$AP$25:$AU$25</c:f>
              <c:numCache>
                <c:formatCode>0.00%</c:formatCode>
                <c:ptCount val="6"/>
                <c:pt idx="0">
                  <c:v>0.1777509068923821</c:v>
                </c:pt>
                <c:pt idx="1">
                  <c:v>0.3270858524788392</c:v>
                </c:pt>
                <c:pt idx="2">
                  <c:v>0.19830713422007254</c:v>
                </c:pt>
                <c:pt idx="3">
                  <c:v>0.53808948004836754</c:v>
                </c:pt>
                <c:pt idx="4">
                  <c:v>0.14691656590084642</c:v>
                </c:pt>
                <c:pt idx="5">
                  <c:v>5.3808948004836758E-2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7C-4851-BFF6-49B6D0ECE9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'7.统计'!$AV$17:$BA$17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'7.统计'!$AV$22:$BA$22</c:f>
              <c:numCache>
                <c:formatCode>0.00%</c:formatCode>
                <c:ptCount val="6"/>
                <c:pt idx="0">
                  <c:v>0.38291605301914583</c:v>
                </c:pt>
                <c:pt idx="1">
                  <c:v>0.33431516936671574</c:v>
                </c:pt>
                <c:pt idx="2">
                  <c:v>0.36671575846833576</c:v>
                </c:pt>
                <c:pt idx="3">
                  <c:v>0.28718703976435933</c:v>
                </c:pt>
                <c:pt idx="4">
                  <c:v>0.13107511045655376</c:v>
                </c:pt>
                <c:pt idx="5">
                  <c:v>5.0073637702503684E-2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DFC-A974-601AB138A6DC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'7.统计'!$AV$17:$BA$17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'7.统计'!$AV$23:$BA$23</c:f>
              <c:numCache>
                <c:formatCode>0.00%</c:formatCode>
                <c:ptCount val="6"/>
                <c:pt idx="0">
                  <c:v>0.37329376854599405</c:v>
                </c:pt>
                <c:pt idx="1">
                  <c:v>0.3537091988130564</c:v>
                </c:pt>
                <c:pt idx="2">
                  <c:v>0.40118694362017804</c:v>
                </c:pt>
                <c:pt idx="3">
                  <c:v>0.33946587537091988</c:v>
                </c:pt>
                <c:pt idx="4">
                  <c:v>0.14124629080118695</c:v>
                </c:pt>
                <c:pt idx="5">
                  <c:v>4.094955489614243E-2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9-4DFC-A974-601AB138A6DC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'7.统计'!$AV$17:$BA$17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'7.统计'!$AV$24:$BA$24</c:f>
              <c:numCache>
                <c:formatCode>0.00%</c:formatCode>
                <c:ptCount val="6"/>
                <c:pt idx="0">
                  <c:v>0.37776193870277974</c:v>
                </c:pt>
                <c:pt idx="1">
                  <c:v>0.31860299358517463</c:v>
                </c:pt>
                <c:pt idx="2">
                  <c:v>0.45188880969351392</c:v>
                </c:pt>
                <c:pt idx="3">
                  <c:v>0.38132573057733427</c:v>
                </c:pt>
                <c:pt idx="4">
                  <c:v>0.16108339272986458</c:v>
                </c:pt>
                <c:pt idx="5">
                  <c:v>6.2009978617248752E-2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49-4DFC-A974-601AB138A6DC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'7.统计'!$AV$17:$BA$17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'7.统计'!$AV$25:$BA$25</c:f>
              <c:numCache>
                <c:formatCode>0.00%</c:formatCode>
                <c:ptCount val="6"/>
                <c:pt idx="0">
                  <c:v>0.42140266021765416</c:v>
                </c:pt>
                <c:pt idx="1">
                  <c:v>0.279322853688029</c:v>
                </c:pt>
                <c:pt idx="2">
                  <c:v>0.42563482466747277</c:v>
                </c:pt>
                <c:pt idx="3">
                  <c:v>0.34461910519951633</c:v>
                </c:pt>
                <c:pt idx="4">
                  <c:v>0.13240628778718258</c:v>
                </c:pt>
                <c:pt idx="5">
                  <c:v>0.1154776299879081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49-4DFC-A974-601AB138A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'7.统计'!$BB$17:$BE$17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'7.统计'!$BB$22:$BE$22</c:f>
              <c:numCache>
                <c:formatCode>0.00%</c:formatCode>
                <c:ptCount val="4"/>
                <c:pt idx="0">
                  <c:v>0.32695139911634757</c:v>
                </c:pt>
                <c:pt idx="1">
                  <c:v>0.34020618556701032</c:v>
                </c:pt>
                <c:pt idx="2">
                  <c:v>0.22238586156111928</c:v>
                </c:pt>
                <c:pt idx="3">
                  <c:v>0.11045655375552282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6-4744-BE61-914DDB0BC6F3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'7.统计'!$BB$17:$BE$17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'7.统计'!$BB$23:$BE$23</c:f>
              <c:numCache>
                <c:formatCode>0.00%</c:formatCode>
                <c:ptCount val="4"/>
                <c:pt idx="0">
                  <c:v>0.25103857566765581</c:v>
                </c:pt>
                <c:pt idx="1">
                  <c:v>0.3537091988130564</c:v>
                </c:pt>
                <c:pt idx="2">
                  <c:v>0.2605341246290801</c:v>
                </c:pt>
                <c:pt idx="3">
                  <c:v>0.13471810089020772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6-4744-BE61-914DDB0BC6F3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'7.统计'!$BB$17:$BE$17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'7.统计'!$BB$24:$BE$24</c:f>
              <c:numCache>
                <c:formatCode>0.00%</c:formatCode>
                <c:ptCount val="4"/>
                <c:pt idx="0">
                  <c:v>0.23877405559515325</c:v>
                </c:pt>
                <c:pt idx="1">
                  <c:v>0.29365645046329292</c:v>
                </c:pt>
                <c:pt idx="2">
                  <c:v>0.29080541696364931</c:v>
                </c:pt>
                <c:pt idx="3">
                  <c:v>0.1767640769779045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6-4744-BE61-914DDB0BC6F3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'7.统计'!$BB$17:$BE$17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'7.统计'!$BB$25:$BE$25</c:f>
              <c:numCache>
                <c:formatCode>0.00%</c:formatCode>
                <c:ptCount val="4"/>
                <c:pt idx="0">
                  <c:v>0.27690447400241835</c:v>
                </c:pt>
                <c:pt idx="1">
                  <c:v>0.27992744860943169</c:v>
                </c:pt>
                <c:pt idx="2">
                  <c:v>0.24969770253929868</c:v>
                </c:pt>
                <c:pt idx="3">
                  <c:v>0.19347037484885127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C6-4744-BE61-914DDB0BC6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对多元资产配置的认可程度：分投资经验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'7.统计'!$J$29:$L$29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'7.统计'!$J$34:$L$34</c:f>
              <c:numCache>
                <c:formatCode>0.00%</c:formatCode>
                <c:ptCount val="3"/>
                <c:pt idx="0">
                  <c:v>0.39009287925696595</c:v>
                </c:pt>
                <c:pt idx="1">
                  <c:v>0.5123839009287926</c:v>
                </c:pt>
                <c:pt idx="2">
                  <c:v>9.7523219814241488E-2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6-4F88-B083-F1A2D56CC25F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'7.统计'!$J$29:$L$29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'7.统计'!$J$35:$L$35</c:f>
              <c:numCache>
                <c:formatCode>0.00%</c:formatCode>
                <c:ptCount val="3"/>
                <c:pt idx="0">
                  <c:v>0.32643678160919543</c:v>
                </c:pt>
                <c:pt idx="1">
                  <c:v>0.60613026819923377</c:v>
                </c:pt>
                <c:pt idx="2">
                  <c:v>6.7432950191570876E-2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6-4F88-B083-F1A2D56CC25F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'7.统计'!$J$29:$L$29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'7.统计'!$J$36:$L$36</c:f>
              <c:numCache>
                <c:formatCode>0.00%</c:formatCode>
                <c:ptCount val="3"/>
                <c:pt idx="0">
                  <c:v>0.41897810218978104</c:v>
                </c:pt>
                <c:pt idx="1">
                  <c:v>0.50583941605839411</c:v>
                </c:pt>
                <c:pt idx="2">
                  <c:v>7.518248175182482E-2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6-4F88-B083-F1A2D56CC25F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'7.统计'!$J$29:$L$29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'7.统计'!$J$37:$L$37</c:f>
              <c:numCache>
                <c:formatCode>0.00%</c:formatCode>
                <c:ptCount val="3"/>
                <c:pt idx="0">
                  <c:v>0.65238095238095239</c:v>
                </c:pt>
                <c:pt idx="1">
                  <c:v>0.31952380952380954</c:v>
                </c:pt>
                <c:pt idx="2">
                  <c:v>2.8095238095238097E-2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66-4F88-B083-F1A2D56CC2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7968414345639484E-2"/>
          <c:y val="0.21400560224089635"/>
          <c:w val="0.891156387362391"/>
          <c:h val="0.347445686936191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'7.统计'!$M$29:$P$29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'7.统计'!$M$34:$P$34</c:f>
              <c:numCache>
                <c:formatCode>0.00%</c:formatCode>
                <c:ptCount val="4"/>
                <c:pt idx="0">
                  <c:v>0.44891640866873067</c:v>
                </c:pt>
                <c:pt idx="1">
                  <c:v>0.5619195046439629</c:v>
                </c:pt>
                <c:pt idx="2">
                  <c:v>0.21517027863777088</c:v>
                </c:pt>
                <c:pt idx="3">
                  <c:v>0.10990712074303406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0-4B6B-B63C-3088ACFDF139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'7.统计'!$M$29:$P$29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'7.统计'!$M$35:$P$35</c:f>
              <c:numCache>
                <c:formatCode>0.00%</c:formatCode>
                <c:ptCount val="4"/>
                <c:pt idx="0">
                  <c:v>0.3724137931034483</c:v>
                </c:pt>
                <c:pt idx="1">
                  <c:v>0.68505747126436778</c:v>
                </c:pt>
                <c:pt idx="2">
                  <c:v>0.39003831417624524</c:v>
                </c:pt>
                <c:pt idx="3">
                  <c:v>0.17011494252873563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0-4B6B-B63C-3088ACFDF139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'7.统计'!$M$29:$P$29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'7.统计'!$M$36:$P$36</c:f>
              <c:numCache>
                <c:formatCode>0.00%</c:formatCode>
                <c:ptCount val="4"/>
                <c:pt idx="0">
                  <c:v>0.39854014598540144</c:v>
                </c:pt>
                <c:pt idx="1">
                  <c:v>0.74671532846715327</c:v>
                </c:pt>
                <c:pt idx="2">
                  <c:v>0.37956204379562042</c:v>
                </c:pt>
                <c:pt idx="3">
                  <c:v>0.22043795620437956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A0-4B6B-B63C-3088ACFDF139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'7.统计'!$M$29:$P$29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'7.统计'!$M$37:$P$37</c:f>
              <c:numCache>
                <c:formatCode>0.00%</c:formatCode>
                <c:ptCount val="4"/>
                <c:pt idx="0">
                  <c:v>0.47761904761904761</c:v>
                </c:pt>
                <c:pt idx="1">
                  <c:v>0.82380952380952377</c:v>
                </c:pt>
                <c:pt idx="2">
                  <c:v>0.3914285714285714</c:v>
                </c:pt>
                <c:pt idx="3">
                  <c:v>0.25666666666666665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A0-4B6B-B63C-3088ACFDF1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'7.统计'!$Q$29:$S$29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'7.统计'!$Q$34:$S$34</c:f>
              <c:numCache>
                <c:formatCode>0.00%</c:formatCode>
                <c:ptCount val="3"/>
                <c:pt idx="0">
                  <c:v>0.52012383900928794</c:v>
                </c:pt>
                <c:pt idx="1">
                  <c:v>0.37151702786377711</c:v>
                </c:pt>
                <c:pt idx="2">
                  <c:v>0.10835913312693499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1B9-9FFD-026FBCE542C9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'7.统计'!$Q$29:$S$29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'7.统计'!$Q$35:$S$35</c:f>
              <c:numCache>
                <c:formatCode>0.00%</c:formatCode>
                <c:ptCount val="3"/>
                <c:pt idx="0">
                  <c:v>0.45900383141762452</c:v>
                </c:pt>
                <c:pt idx="1">
                  <c:v>0.44674329501915711</c:v>
                </c:pt>
                <c:pt idx="2">
                  <c:v>9.4252873563218389E-2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1B9-9FFD-026FBCE542C9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'7.统计'!$Q$29:$S$29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'7.统计'!$Q$36:$S$36</c:f>
              <c:numCache>
                <c:formatCode>0.00%</c:formatCode>
                <c:ptCount val="3"/>
                <c:pt idx="0">
                  <c:v>0.52992700729927011</c:v>
                </c:pt>
                <c:pt idx="1">
                  <c:v>0.36350364963503651</c:v>
                </c:pt>
                <c:pt idx="2">
                  <c:v>0.10656934306569343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1B9-9FFD-026FBCE542C9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'7.统计'!$Q$29:$S$29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'7.统计'!$Q$37:$S$37</c:f>
              <c:numCache>
                <c:formatCode>0.00%</c:formatCode>
                <c:ptCount val="3"/>
                <c:pt idx="0">
                  <c:v>0.67142857142857137</c:v>
                </c:pt>
                <c:pt idx="1">
                  <c:v>0.2695238095238095</c:v>
                </c:pt>
                <c:pt idx="2">
                  <c:v>5.904761904761905E-2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1B9-9FFD-026FBCE542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希望如何实现多元资产配置：</a:t>
            </a: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'7.统计'!$T$29:$V$29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'7.统计'!$T$34:$V$34</c:f>
              <c:numCache>
                <c:formatCode>0.00%</c:formatCode>
                <c:ptCount val="3"/>
                <c:pt idx="0">
                  <c:v>0.46130030959752322</c:v>
                </c:pt>
                <c:pt idx="1">
                  <c:v>0.38854489164086686</c:v>
                </c:pt>
                <c:pt idx="2">
                  <c:v>0.15015479876160992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D-4650-8747-D7D2C6DA2FB7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'7.统计'!$T$29:$V$29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'7.统计'!$T$35:$V$35</c:f>
              <c:numCache>
                <c:formatCode>0.00%</c:formatCode>
                <c:ptCount val="3"/>
                <c:pt idx="0">
                  <c:v>0.27892720306513408</c:v>
                </c:pt>
                <c:pt idx="1">
                  <c:v>0.52873563218390807</c:v>
                </c:pt>
                <c:pt idx="2">
                  <c:v>0.19233716475095786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D-4650-8747-D7D2C6DA2FB7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'7.统计'!$T$29:$V$29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'7.统计'!$T$36:$V$36</c:f>
              <c:numCache>
                <c:formatCode>0.00%</c:formatCode>
                <c:ptCount val="3"/>
                <c:pt idx="0">
                  <c:v>0.30072992700729928</c:v>
                </c:pt>
                <c:pt idx="1">
                  <c:v>0.47810218978102192</c:v>
                </c:pt>
                <c:pt idx="2">
                  <c:v>0.22116788321167882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8D-4650-8747-D7D2C6DA2FB7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'7.统计'!$T$29:$V$29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'7.统计'!$T$37:$V$37</c:f>
              <c:numCache>
                <c:formatCode>0.00%</c:formatCode>
                <c:ptCount val="3"/>
                <c:pt idx="0">
                  <c:v>0.35904761904761906</c:v>
                </c:pt>
                <c:pt idx="1">
                  <c:v>0.36476190476190479</c:v>
                </c:pt>
                <c:pt idx="2">
                  <c:v>0.27619047619047621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8D-4650-8747-D7D2C6DA2F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'7.统计'!$W$29:$AB$29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'7.统计'!$W$34:$AB$34</c:f>
              <c:numCache>
                <c:formatCode>0.00%</c:formatCode>
                <c:ptCount val="6"/>
                <c:pt idx="0">
                  <c:v>0.40092879256965946</c:v>
                </c:pt>
                <c:pt idx="1">
                  <c:v>0.53405572755417952</c:v>
                </c:pt>
                <c:pt idx="2">
                  <c:v>0.21981424148606812</c:v>
                </c:pt>
                <c:pt idx="3">
                  <c:v>8.6687306501547989E-2</c:v>
                </c:pt>
                <c:pt idx="4">
                  <c:v>0.14086687306501547</c:v>
                </c:pt>
                <c:pt idx="5">
                  <c:v>6.1919504643962849E-2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3-4D56-9585-273410630800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'7.统计'!$W$29:$AB$29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'7.统计'!$W$35:$AB$35</c:f>
              <c:numCache>
                <c:formatCode>0.00%</c:formatCode>
                <c:ptCount val="6"/>
                <c:pt idx="0">
                  <c:v>0.35249042145593867</c:v>
                </c:pt>
                <c:pt idx="1">
                  <c:v>0.63678160919540228</c:v>
                </c:pt>
                <c:pt idx="2">
                  <c:v>0.42605363984674327</c:v>
                </c:pt>
                <c:pt idx="3">
                  <c:v>0.14636015325670498</c:v>
                </c:pt>
                <c:pt idx="4">
                  <c:v>0.23065134099616857</c:v>
                </c:pt>
                <c:pt idx="5">
                  <c:v>3.8314176245210725E-2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93-4D56-9585-273410630800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'7.统计'!$W$29:$AB$29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'7.统计'!$W$36:$AB$36</c:f>
              <c:numCache>
                <c:formatCode>0.00%</c:formatCode>
                <c:ptCount val="6"/>
                <c:pt idx="0">
                  <c:v>0.44014598540145983</c:v>
                </c:pt>
                <c:pt idx="1">
                  <c:v>0.61970802919708035</c:v>
                </c:pt>
                <c:pt idx="2">
                  <c:v>0.48905109489051096</c:v>
                </c:pt>
                <c:pt idx="3">
                  <c:v>0.16496350364963502</c:v>
                </c:pt>
                <c:pt idx="4">
                  <c:v>0.27299270072992698</c:v>
                </c:pt>
                <c:pt idx="5">
                  <c:v>3.5036496350364967E-2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93-4D56-9585-273410630800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'7.统计'!$W$29:$AB$29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'7.统计'!$W$37:$AB$37</c:f>
              <c:numCache>
                <c:formatCode>0.00%</c:formatCode>
                <c:ptCount val="6"/>
                <c:pt idx="0">
                  <c:v>0.57238095238095243</c:v>
                </c:pt>
                <c:pt idx="1">
                  <c:v>0.63428571428571423</c:v>
                </c:pt>
                <c:pt idx="2">
                  <c:v>0.51714285714285713</c:v>
                </c:pt>
                <c:pt idx="3">
                  <c:v>0.17095238095238094</c:v>
                </c:pt>
                <c:pt idx="4">
                  <c:v>0.35476190476190478</c:v>
                </c:pt>
                <c:pt idx="5">
                  <c:v>5.0476190476190473E-2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93-4D56-9585-2734106308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070885115264207"/>
          <c:y val="0.21400560224089635"/>
          <c:w val="0.87278512475097236"/>
          <c:h val="0.384385628267054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'7.统计'!$AC$29:$AE$29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'7.统计'!$AC$34:$AE$34</c:f>
              <c:numCache>
                <c:formatCode>0.00%</c:formatCode>
                <c:ptCount val="3"/>
                <c:pt idx="0">
                  <c:v>0.44582043343653249</c:v>
                </c:pt>
                <c:pt idx="1">
                  <c:v>0.34984520123839008</c:v>
                </c:pt>
                <c:pt idx="2">
                  <c:v>0.2043343653250774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D-429F-A8E3-E35B9337642B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'7.统计'!$AC$29:$AE$29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'7.统计'!$AC$35:$AE$35</c:f>
              <c:numCache>
                <c:formatCode>0.00%</c:formatCode>
                <c:ptCount val="3"/>
                <c:pt idx="0">
                  <c:v>0.35019157088122604</c:v>
                </c:pt>
                <c:pt idx="1">
                  <c:v>0.54636015325670495</c:v>
                </c:pt>
                <c:pt idx="2">
                  <c:v>0.10191570881226053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D-429F-A8E3-E35B9337642B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'7.统计'!$AC$29:$AE$29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'7.统计'!$AC$36:$AE$36</c:f>
              <c:numCache>
                <c:formatCode>0.00%</c:formatCode>
                <c:ptCount val="3"/>
                <c:pt idx="0">
                  <c:v>0.354014598540146</c:v>
                </c:pt>
                <c:pt idx="1">
                  <c:v>0.5335766423357664</c:v>
                </c:pt>
                <c:pt idx="2">
                  <c:v>0.11240875912408758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0D-429F-A8E3-E35B9337642B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'7.统计'!$AC$29:$AE$29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'7.统计'!$AC$37:$AE$37</c:f>
              <c:numCache>
                <c:formatCode>0.00%</c:formatCode>
                <c:ptCount val="3"/>
                <c:pt idx="0">
                  <c:v>0.51047619047619053</c:v>
                </c:pt>
                <c:pt idx="1">
                  <c:v>0.40809523809523812</c:v>
                </c:pt>
                <c:pt idx="2">
                  <c:v>8.1428571428571433E-2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0D-429F-A8E3-E35B933764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0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投资海外金融资产占总金融资产的比例：</a:t>
            </a: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'7.统计'!$AF$29:$AI$29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'7.统计'!$AF$34:$AI$34</c:f>
              <c:numCache>
                <c:formatCode>0.00%</c:formatCode>
                <c:ptCount val="4"/>
                <c:pt idx="0">
                  <c:v>0.44736842105263158</c:v>
                </c:pt>
                <c:pt idx="1">
                  <c:v>0.39783281733746129</c:v>
                </c:pt>
                <c:pt idx="2">
                  <c:v>0.10835913312693499</c:v>
                </c:pt>
                <c:pt idx="3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B-4795-A8B8-D69C65FEE32E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'7.统计'!$AF$29:$AI$29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'7.统计'!$AF$35:$AI$35</c:f>
              <c:numCache>
                <c:formatCode>0.00%</c:formatCode>
                <c:ptCount val="4"/>
                <c:pt idx="0">
                  <c:v>0.19310344827586207</c:v>
                </c:pt>
                <c:pt idx="1">
                  <c:v>0.44674329501915711</c:v>
                </c:pt>
                <c:pt idx="2">
                  <c:v>0.27203065134099619</c:v>
                </c:pt>
                <c:pt idx="3">
                  <c:v>7.2030651340996163E-2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AB-4795-A8B8-D69C65FEE32E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'7.统计'!$AF$29:$AI$29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'7.统计'!$AF$36:$AI$36</c:f>
              <c:numCache>
                <c:formatCode>0.00%</c:formatCode>
                <c:ptCount val="4"/>
                <c:pt idx="0">
                  <c:v>0.14744525547445256</c:v>
                </c:pt>
                <c:pt idx="1">
                  <c:v>0.36277372262773722</c:v>
                </c:pt>
                <c:pt idx="2">
                  <c:v>0.33065693430656934</c:v>
                </c:pt>
                <c:pt idx="3">
                  <c:v>0.13722627737226278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AB-4795-A8B8-D69C65FEE32E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'7.统计'!$AF$29:$AI$29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'7.统计'!$AF$37:$AI$37</c:f>
              <c:numCache>
                <c:formatCode>0.00%</c:formatCode>
                <c:ptCount val="4"/>
                <c:pt idx="0">
                  <c:v>0.16904761904761906</c:v>
                </c:pt>
                <c:pt idx="1">
                  <c:v>0.36714285714285716</c:v>
                </c:pt>
                <c:pt idx="2">
                  <c:v>0.25904761904761903</c:v>
                </c:pt>
                <c:pt idx="3">
                  <c:v>0.1280952380952381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AB-4795-A8B8-D69C65FEE3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'7.统计'!$AJ$29:$AO$29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'7.统计'!$AJ$34:$AO$34</c:f>
              <c:numCache>
                <c:formatCode>0.00%</c:formatCode>
                <c:ptCount val="6"/>
                <c:pt idx="0">
                  <c:v>0.54643962848297212</c:v>
                </c:pt>
                <c:pt idx="1">
                  <c:v>0.14860681114551083</c:v>
                </c:pt>
                <c:pt idx="2">
                  <c:v>9.7523219814241488E-2</c:v>
                </c:pt>
                <c:pt idx="3">
                  <c:v>0.20123839009287925</c:v>
                </c:pt>
                <c:pt idx="4">
                  <c:v>0.12538699690402477</c:v>
                </c:pt>
                <c:pt idx="5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7-40ED-8C85-6F5223395D45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'7.统计'!$AJ$29:$AO$29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'7.统计'!$AJ$35:$AO$35</c:f>
              <c:numCache>
                <c:formatCode>0.00%</c:formatCode>
                <c:ptCount val="6"/>
                <c:pt idx="0">
                  <c:v>0.55785440613026815</c:v>
                </c:pt>
                <c:pt idx="1">
                  <c:v>0.25900383141762451</c:v>
                </c:pt>
                <c:pt idx="2">
                  <c:v>0.22605363984674329</c:v>
                </c:pt>
                <c:pt idx="3">
                  <c:v>0.28965517241379313</c:v>
                </c:pt>
                <c:pt idx="4">
                  <c:v>5.2107279693486587E-2</c:v>
                </c:pt>
                <c:pt idx="5">
                  <c:v>6.1302681992337162E-2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17-40ED-8C85-6F5223395D45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'7.统计'!$AJ$29:$AO$29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'7.统计'!$AJ$36:$AO$36</c:f>
              <c:numCache>
                <c:formatCode>0.00%</c:formatCode>
                <c:ptCount val="6"/>
                <c:pt idx="0">
                  <c:v>0.66496350364963508</c:v>
                </c:pt>
                <c:pt idx="1">
                  <c:v>0.24598540145985401</c:v>
                </c:pt>
                <c:pt idx="2">
                  <c:v>0.17080291970802919</c:v>
                </c:pt>
                <c:pt idx="3">
                  <c:v>0.29124087591240877</c:v>
                </c:pt>
                <c:pt idx="4">
                  <c:v>6.8613138686131392E-2</c:v>
                </c:pt>
                <c:pt idx="5">
                  <c:v>4.6715328467153282E-2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17-40ED-8C85-6F5223395D45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'7.统计'!$AJ$29:$AO$29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'7.统计'!$AJ$37:$AO$37</c:f>
              <c:numCache>
                <c:formatCode>0.00%</c:formatCode>
                <c:ptCount val="6"/>
                <c:pt idx="0">
                  <c:v>0.7790476190476191</c:v>
                </c:pt>
                <c:pt idx="1">
                  <c:v>0.2257142857142857</c:v>
                </c:pt>
                <c:pt idx="2">
                  <c:v>0.11857142857142858</c:v>
                </c:pt>
                <c:pt idx="3">
                  <c:v>0.33095238095238094</c:v>
                </c:pt>
                <c:pt idx="4">
                  <c:v>5.2380952380952382E-2</c:v>
                </c:pt>
                <c:pt idx="5">
                  <c:v>6.6190476190476188E-2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17-40ED-8C85-6F5223395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'7.统计'!$AP$34:$AU$34</c:f>
              <c:numCache>
                <c:formatCode>0.00%</c:formatCode>
                <c:ptCount val="6"/>
                <c:pt idx="0">
                  <c:v>0.31888544891640869</c:v>
                </c:pt>
                <c:pt idx="1">
                  <c:v>0.39164086687306504</c:v>
                </c:pt>
                <c:pt idx="2">
                  <c:v>0.16253869969040247</c:v>
                </c:pt>
                <c:pt idx="3">
                  <c:v>0.23065015479876161</c:v>
                </c:pt>
                <c:pt idx="4">
                  <c:v>8.5139318885448914E-2</c:v>
                </c:pt>
                <c:pt idx="5">
                  <c:v>4.7987616099071206E-2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A-40A4-AFF7-B61090561B61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'7.统计'!$AP$35:$AU$35</c:f>
              <c:numCache>
                <c:formatCode>0.00%</c:formatCode>
                <c:ptCount val="6"/>
                <c:pt idx="0">
                  <c:v>0.14406130268199233</c:v>
                </c:pt>
                <c:pt idx="1">
                  <c:v>0.39540229885057471</c:v>
                </c:pt>
                <c:pt idx="2">
                  <c:v>0.26513409961685824</c:v>
                </c:pt>
                <c:pt idx="3">
                  <c:v>0.45977011494252873</c:v>
                </c:pt>
                <c:pt idx="4">
                  <c:v>0.12183908045977011</c:v>
                </c:pt>
                <c:pt idx="5">
                  <c:v>3.5249042145593872E-2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A-40A4-AFF7-B61090561B61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'7.统计'!$AP$36:$AU$36</c:f>
              <c:numCache>
                <c:formatCode>0.00%</c:formatCode>
                <c:ptCount val="6"/>
                <c:pt idx="0">
                  <c:v>0.11532846715328467</c:v>
                </c:pt>
                <c:pt idx="1">
                  <c:v>0.40802919708029195</c:v>
                </c:pt>
                <c:pt idx="2">
                  <c:v>0.24306569343065693</c:v>
                </c:pt>
                <c:pt idx="3">
                  <c:v>0.54160583941605844</c:v>
                </c:pt>
                <c:pt idx="4">
                  <c:v>0.14306569343065692</c:v>
                </c:pt>
                <c:pt idx="5">
                  <c:v>2.7737226277372264E-2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7A-40A4-AFF7-B61090561B61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'7.统计'!$AP$37:$AU$37</c:f>
              <c:numCache>
                <c:formatCode>0.00%</c:formatCode>
                <c:ptCount val="6"/>
                <c:pt idx="0">
                  <c:v>0.12523809523809523</c:v>
                </c:pt>
                <c:pt idx="1">
                  <c:v>0.39809523809523811</c:v>
                </c:pt>
                <c:pt idx="2">
                  <c:v>0.22380952380952382</c:v>
                </c:pt>
                <c:pt idx="3">
                  <c:v>0.61904761904761907</c:v>
                </c:pt>
                <c:pt idx="4">
                  <c:v>0.16619047619047619</c:v>
                </c:pt>
                <c:pt idx="5">
                  <c:v>3.380952380952381E-2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7A-40A4-AFF7-B61090561B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'7.统计'!$AV$29:$BA$29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'7.统计'!$AV$34:$BA$34</c:f>
              <c:numCache>
                <c:formatCode>0.00%</c:formatCode>
                <c:ptCount val="6"/>
                <c:pt idx="0">
                  <c:v>0.44272445820433437</c:v>
                </c:pt>
                <c:pt idx="1">
                  <c:v>0.33746130030959753</c:v>
                </c:pt>
                <c:pt idx="2">
                  <c:v>0.24613003095975233</c:v>
                </c:pt>
                <c:pt idx="3">
                  <c:v>0.20588235294117646</c:v>
                </c:pt>
                <c:pt idx="4">
                  <c:v>8.5139318885448914E-2</c:v>
                </c:pt>
                <c:pt idx="5">
                  <c:v>8.3591331269349839E-2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A-4665-AFD6-E63E05FCFFA0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'7.统计'!$AV$29:$BA$29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'7.统计'!$AV$35:$BA$35</c:f>
              <c:numCache>
                <c:formatCode>0.00%</c:formatCode>
                <c:ptCount val="6"/>
                <c:pt idx="0">
                  <c:v>0.34406130268199236</c:v>
                </c:pt>
                <c:pt idx="1">
                  <c:v>0.37318007662835251</c:v>
                </c:pt>
                <c:pt idx="2">
                  <c:v>0.40383141762452107</c:v>
                </c:pt>
                <c:pt idx="3">
                  <c:v>0.30881226053639849</c:v>
                </c:pt>
                <c:pt idx="4">
                  <c:v>0.12030651340996168</c:v>
                </c:pt>
                <c:pt idx="5">
                  <c:v>5.7471264367816091E-2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A-4665-AFD6-E63E05FCFFA0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'7.统计'!$AV$29:$BA$29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'7.统计'!$AV$36:$BA$36</c:f>
              <c:numCache>
                <c:formatCode>0.00%</c:formatCode>
                <c:ptCount val="6"/>
                <c:pt idx="0">
                  <c:v>0.34452554744525549</c:v>
                </c:pt>
                <c:pt idx="1">
                  <c:v>0.32262773722627736</c:v>
                </c:pt>
                <c:pt idx="2">
                  <c:v>0.46861313868613141</c:v>
                </c:pt>
                <c:pt idx="3">
                  <c:v>0.36423357664233574</c:v>
                </c:pt>
                <c:pt idx="4">
                  <c:v>0.15547445255474451</c:v>
                </c:pt>
                <c:pt idx="5">
                  <c:v>5.8394160583941604E-2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A-4665-AFD6-E63E05FCFFA0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'7.统计'!$AV$29:$BA$29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'7.统计'!$AV$37:$BA$37</c:f>
              <c:numCache>
                <c:formatCode>0.00%</c:formatCode>
                <c:ptCount val="6"/>
                <c:pt idx="0">
                  <c:v>0.43285714285714288</c:v>
                </c:pt>
                <c:pt idx="1">
                  <c:v>0.27857142857142858</c:v>
                </c:pt>
                <c:pt idx="2">
                  <c:v>0.44523809523809521</c:v>
                </c:pt>
                <c:pt idx="3">
                  <c:v>0.39857142857142858</c:v>
                </c:pt>
                <c:pt idx="4">
                  <c:v>0.16523809523809524</c:v>
                </c:pt>
                <c:pt idx="5">
                  <c:v>8.1904761904761911E-2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A-4665-AFD6-E63E05FCFF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'7.统计'!$BB$29:$BE$29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'7.统计'!$BB$34:$BE$34</c:f>
              <c:numCache>
                <c:formatCode>0.00%</c:formatCode>
                <c:ptCount val="4"/>
                <c:pt idx="0">
                  <c:v>0.54798761609907121</c:v>
                </c:pt>
                <c:pt idx="1">
                  <c:v>0.32817337461300311</c:v>
                </c:pt>
                <c:pt idx="2">
                  <c:v>8.5139318885448914E-2</c:v>
                </c:pt>
                <c:pt idx="3">
                  <c:v>3.8699690402476783E-2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4-4F1B-A005-1BEC342F807F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'7.统计'!$BB$29:$BE$29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'7.统计'!$BB$35:$BE$35</c:f>
              <c:numCache>
                <c:formatCode>0.00%</c:formatCode>
                <c:ptCount val="4"/>
                <c:pt idx="0">
                  <c:v>0.26896551724137929</c:v>
                </c:pt>
                <c:pt idx="1">
                  <c:v>0.40766283524904212</c:v>
                </c:pt>
                <c:pt idx="2">
                  <c:v>0.25900383141762451</c:v>
                </c:pt>
                <c:pt idx="3">
                  <c:v>6.4367816091954022E-2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4-4F1B-A005-1BEC342F807F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'7.统计'!$BB$29:$BE$29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'7.统计'!$BB$36:$BE$36</c:f>
              <c:numCache>
                <c:formatCode>0.00%</c:formatCode>
                <c:ptCount val="4"/>
                <c:pt idx="0">
                  <c:v>0.20291970802919709</c:v>
                </c:pt>
                <c:pt idx="1">
                  <c:v>0.34160583941605838</c:v>
                </c:pt>
                <c:pt idx="2">
                  <c:v>0.32043795620437954</c:v>
                </c:pt>
                <c:pt idx="3">
                  <c:v>0.13503649635036497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4-4F1B-A005-1BEC342F807F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'7.统计'!$BB$29:$BE$29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'7.统计'!$BB$37:$BE$37</c:f>
              <c:numCache>
                <c:formatCode>0.00%</c:formatCode>
                <c:ptCount val="4"/>
                <c:pt idx="0">
                  <c:v>0.21666666666666667</c:v>
                </c:pt>
                <c:pt idx="1">
                  <c:v>0.23333333333333334</c:v>
                </c:pt>
                <c:pt idx="2">
                  <c:v>0.27571428571428569</c:v>
                </c:pt>
                <c:pt idx="3">
                  <c:v>0.2742857142857143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F4-4F1B-A005-1BEC342F80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'7.统计'!$F$17:$I$17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'7.统计'!$F$34:$I$34</c:f>
              <c:numCache>
                <c:formatCode>0.00%</c:formatCode>
                <c:ptCount val="4"/>
                <c:pt idx="0">
                  <c:v>0.28637770897832815</c:v>
                </c:pt>
                <c:pt idx="1">
                  <c:v>0.31269349845201239</c:v>
                </c:pt>
                <c:pt idx="2">
                  <c:v>0.28947368421052633</c:v>
                </c:pt>
                <c:pt idx="3">
                  <c:v>0.11145510835913312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8-475F-84E4-0F4DCA0807C9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'7.统计'!$F$17:$I$17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'7.统计'!$F$35:$I$35</c:f>
              <c:numCache>
                <c:formatCode>0.00%</c:formatCode>
                <c:ptCount val="4"/>
                <c:pt idx="0">
                  <c:v>0.14865900383141761</c:v>
                </c:pt>
                <c:pt idx="1">
                  <c:v>0.5455938697318008</c:v>
                </c:pt>
                <c:pt idx="2">
                  <c:v>0.23524904214559386</c:v>
                </c:pt>
                <c:pt idx="3">
                  <c:v>7.0498084291187743E-2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F8-475F-84E4-0F4DCA0807C9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'7.统计'!$F$17:$I$17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'7.统计'!$F$36:$I$36</c:f>
              <c:numCache>
                <c:formatCode>0.00%</c:formatCode>
                <c:ptCount val="4"/>
                <c:pt idx="0">
                  <c:v>0.19927007299270072</c:v>
                </c:pt>
                <c:pt idx="1">
                  <c:v>0.51240875912408756</c:v>
                </c:pt>
                <c:pt idx="2">
                  <c:v>0.18832116788321168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F8-475F-84E4-0F4DCA0807C9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'7.统计'!$F$17:$I$17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'7.统计'!$F$37:$I$37</c:f>
              <c:numCache>
                <c:formatCode>0.00%</c:formatCode>
                <c:ptCount val="4"/>
                <c:pt idx="0">
                  <c:v>0.38095238095238093</c:v>
                </c:pt>
                <c:pt idx="1">
                  <c:v>0.4076190476190476</c:v>
                </c:pt>
                <c:pt idx="2">
                  <c:v>5.7619047619047618E-2</c:v>
                </c:pt>
                <c:pt idx="3">
                  <c:v>0.15380952380952381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F8-475F-84E4-0F4DCA0807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'7.统计'!$F$50:$I$50</c:f>
              <c:numCache>
                <c:formatCode>0.00%</c:formatCode>
                <c:ptCount val="4"/>
                <c:pt idx="0">
                  <c:v>0.34657836644591611</c:v>
                </c:pt>
                <c:pt idx="1">
                  <c:v>0.35540838852097129</c:v>
                </c:pt>
                <c:pt idx="2">
                  <c:v>0.20309050772626933</c:v>
                </c:pt>
                <c:pt idx="3">
                  <c:v>9.4922737306843266E-2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2-4CAB-8B6D-1C1F8AEFE079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'7.统计'!$F$51:$I$51</c:f>
              <c:numCache>
                <c:formatCode>0.00%</c:formatCode>
                <c:ptCount val="4"/>
                <c:pt idx="0">
                  <c:v>0.3574074074074074</c:v>
                </c:pt>
                <c:pt idx="1">
                  <c:v>0.45185185185185184</c:v>
                </c:pt>
                <c:pt idx="2">
                  <c:v>0.12407407407407407</c:v>
                </c:pt>
                <c:pt idx="3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2-4CAB-8B6D-1C1F8AEFE079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'7.统计'!$F$52:$I$52</c:f>
              <c:numCache>
                <c:formatCode>0.00%</c:formatCode>
                <c:ptCount val="4"/>
                <c:pt idx="0">
                  <c:v>0.29339853300733498</c:v>
                </c:pt>
                <c:pt idx="1">
                  <c:v>0.45476772616136918</c:v>
                </c:pt>
                <c:pt idx="2">
                  <c:v>0.15036674816625917</c:v>
                </c:pt>
                <c:pt idx="3">
                  <c:v>0.10146699266503667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2-4CAB-8B6D-1C1F8AEFE079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'7.统计'!$F$53:$I$53</c:f>
              <c:numCache>
                <c:formatCode>0.00%</c:formatCode>
                <c:ptCount val="4"/>
                <c:pt idx="0">
                  <c:v>0.27307206068268014</c:v>
                </c:pt>
                <c:pt idx="1">
                  <c:v>0.427307206068268</c:v>
                </c:pt>
                <c:pt idx="2">
                  <c:v>0.14791403286978508</c:v>
                </c:pt>
                <c:pt idx="3">
                  <c:v>0.15170670037926676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82-4CAB-8B6D-1C1F8AEFE079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'7.统计'!$F$54:$I$54</c:f>
              <c:numCache>
                <c:formatCode>0.00%</c:formatCode>
                <c:ptCount val="4"/>
                <c:pt idx="0">
                  <c:v>0.20796460176991149</c:v>
                </c:pt>
                <c:pt idx="1">
                  <c:v>0.50884955752212391</c:v>
                </c:pt>
                <c:pt idx="2">
                  <c:v>0.20796460176991149</c:v>
                </c:pt>
                <c:pt idx="3">
                  <c:v>7.5221238938053103E-2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82-4CAB-8B6D-1C1F8AEFE079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'7.统计'!$F$55:$I$55</c:f>
              <c:numCache>
                <c:formatCode>0.00%</c:formatCode>
                <c:ptCount val="4"/>
                <c:pt idx="0">
                  <c:v>0.21322314049586777</c:v>
                </c:pt>
                <c:pt idx="1">
                  <c:v>0.52231404958677685</c:v>
                </c:pt>
                <c:pt idx="2">
                  <c:v>0.17355371900826447</c:v>
                </c:pt>
                <c:pt idx="3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82-4CAB-8B6D-1C1F8AEFE079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'7.统计'!$F$56:$I$56</c:f>
              <c:numCache>
                <c:formatCode>0.00%</c:formatCode>
                <c:ptCount val="4"/>
                <c:pt idx="0">
                  <c:v>0.20683760683760682</c:v>
                </c:pt>
                <c:pt idx="1">
                  <c:v>0.48547008547008547</c:v>
                </c:pt>
                <c:pt idx="2">
                  <c:v>0.19658119658119658</c:v>
                </c:pt>
                <c:pt idx="3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82-4CAB-8B6D-1C1F8AEFE079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'7.统计'!$F$57:$I$57</c:f>
              <c:numCache>
                <c:formatCode>0.00%</c:formatCode>
                <c:ptCount val="4"/>
                <c:pt idx="0">
                  <c:v>0.18076477404403243</c:v>
                </c:pt>
                <c:pt idx="1">
                  <c:v>0.46118192352259557</c:v>
                </c:pt>
                <c:pt idx="2">
                  <c:v>0.16222479721900349</c:v>
                </c:pt>
                <c:pt idx="3">
                  <c:v>0.19582850521436848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82-4CAB-8B6D-1C1F8AEFE0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'7.统计'!$J$41:$L$41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'7.统计'!$J$50:$L$50</c:f>
              <c:numCache>
                <c:formatCode>0.00%</c:formatCode>
                <c:ptCount val="3"/>
                <c:pt idx="0">
                  <c:v>0.5011037527593819</c:v>
                </c:pt>
                <c:pt idx="1">
                  <c:v>0.4370860927152318</c:v>
                </c:pt>
                <c:pt idx="2">
                  <c:v>6.1810154525386317E-2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5-46A3-AAB2-1B3CD8125BFD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'7.统计'!$J$41:$L$41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'7.统计'!$J$51:$L$51</c:f>
              <c:numCache>
                <c:formatCode>0.00%</c:formatCode>
                <c:ptCount val="3"/>
                <c:pt idx="0">
                  <c:v>0.47037037037037038</c:v>
                </c:pt>
                <c:pt idx="1">
                  <c:v>0.47499999999999998</c:v>
                </c:pt>
                <c:pt idx="2">
                  <c:v>5.4629629629629632E-2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5-46A3-AAB2-1B3CD8125BFD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'7.统计'!$J$41:$L$41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'7.统计'!$J$52:$L$52</c:f>
              <c:numCache>
                <c:formatCode>0.00%</c:formatCode>
                <c:ptCount val="3"/>
                <c:pt idx="0">
                  <c:v>0.52200488997555017</c:v>
                </c:pt>
                <c:pt idx="1">
                  <c:v>0.42420537897310512</c:v>
                </c:pt>
                <c:pt idx="2">
                  <c:v>5.3789731051344741E-2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5-46A3-AAB2-1B3CD8125BFD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'7.统计'!$J$41:$L$41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'7.统计'!$J$53:$L$53</c:f>
              <c:numCache>
                <c:formatCode>0.00%</c:formatCode>
                <c:ptCount val="3"/>
                <c:pt idx="0">
                  <c:v>0.51833122629582806</c:v>
                </c:pt>
                <c:pt idx="1">
                  <c:v>0.4336283185840708</c:v>
                </c:pt>
                <c:pt idx="2">
                  <c:v>4.804045512010114E-2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D5-46A3-AAB2-1B3CD8125BFD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'7.统计'!$J$41:$L$41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'7.统计'!$J$54:$L$54</c:f>
              <c:numCache>
                <c:formatCode>0.00%</c:formatCode>
                <c:ptCount val="3"/>
                <c:pt idx="0">
                  <c:v>0.44247787610619471</c:v>
                </c:pt>
                <c:pt idx="1">
                  <c:v>0.46460176991150443</c:v>
                </c:pt>
                <c:pt idx="2">
                  <c:v>9.2920353982300891E-2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D5-46A3-AAB2-1B3CD8125BFD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'7.统计'!$J$41:$L$41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'7.统计'!$J$55:$L$55</c:f>
              <c:numCache>
                <c:formatCode>0.00%</c:formatCode>
                <c:ptCount val="3"/>
                <c:pt idx="0">
                  <c:v>0.4809917355371901</c:v>
                </c:pt>
                <c:pt idx="1">
                  <c:v>0.46280991735537191</c:v>
                </c:pt>
                <c:pt idx="2">
                  <c:v>5.6198347107438019E-2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D5-46A3-AAB2-1B3CD8125BFD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'7.统计'!$J$41:$L$41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'7.统计'!$J$56:$L$56</c:f>
              <c:numCache>
                <c:formatCode>0.00%</c:formatCode>
                <c:ptCount val="3"/>
                <c:pt idx="0">
                  <c:v>0.41880341880341881</c:v>
                </c:pt>
                <c:pt idx="1">
                  <c:v>0.51111111111111107</c:v>
                </c:pt>
                <c:pt idx="2">
                  <c:v>7.0085470085470086E-2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D5-46A3-AAB2-1B3CD8125BFD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'7.统计'!$J$41:$L$41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'7.统计'!$J$57:$L$57</c:f>
              <c:numCache>
                <c:formatCode>0.00%</c:formatCode>
                <c:ptCount val="3"/>
                <c:pt idx="0">
                  <c:v>0.47972190034762457</c:v>
                </c:pt>
                <c:pt idx="1">
                  <c:v>0.46465816917728853</c:v>
                </c:pt>
                <c:pt idx="2">
                  <c:v>5.5619930475086905E-2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D5-46A3-AAB2-1B3CD8125B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'7.统计'!$M$41:$P$41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'7.统计'!$M$50:$P$50</c:f>
              <c:numCache>
                <c:formatCode>0.00%</c:formatCode>
                <c:ptCount val="4"/>
                <c:pt idx="0">
                  <c:v>0.45033112582781459</c:v>
                </c:pt>
                <c:pt idx="1">
                  <c:v>0.57174392935982343</c:v>
                </c:pt>
                <c:pt idx="2">
                  <c:v>0.32229580573951433</c:v>
                </c:pt>
                <c:pt idx="3">
                  <c:v>0.16997792494481237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2-4EF5-8BFD-C51581E3BF33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'7.统计'!$M$41:$P$41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'7.统计'!$M$51:$P$51</c:f>
              <c:numCache>
                <c:formatCode>0.00%</c:formatCode>
                <c:ptCount val="4"/>
                <c:pt idx="0">
                  <c:v>0.42499999999999999</c:v>
                </c:pt>
                <c:pt idx="1">
                  <c:v>0.69537037037037042</c:v>
                </c:pt>
                <c:pt idx="2">
                  <c:v>0.35462962962962963</c:v>
                </c:pt>
                <c:pt idx="3">
                  <c:v>0.20370370370370369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E2-4EF5-8BFD-C51581E3BF33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'7.统计'!$M$41:$P$41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'7.统计'!$M$52:$P$52</c:f>
              <c:numCache>
                <c:formatCode>0.00%</c:formatCode>
                <c:ptCount val="4"/>
                <c:pt idx="0">
                  <c:v>0.42298288508557458</c:v>
                </c:pt>
                <c:pt idx="1">
                  <c:v>0.75183374083129584</c:v>
                </c:pt>
                <c:pt idx="2">
                  <c:v>0.41198044009779949</c:v>
                </c:pt>
                <c:pt idx="3">
                  <c:v>0.20048899755501223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E2-4EF5-8BFD-C51581E3BF33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'7.统计'!$M$41:$P$41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'7.统计'!$M$53:$P$53</c:f>
              <c:numCache>
                <c:formatCode>0.00%</c:formatCode>
                <c:ptCount val="4"/>
                <c:pt idx="0">
                  <c:v>0.4197218710493047</c:v>
                </c:pt>
                <c:pt idx="1">
                  <c:v>0.79140328697850826</c:v>
                </c:pt>
                <c:pt idx="2">
                  <c:v>0.32743362831858408</c:v>
                </c:pt>
                <c:pt idx="3">
                  <c:v>0.20859671302149177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E2-4EF5-8BFD-C51581E3BF33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'7.统计'!$M$41:$P$41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'7.统计'!$M$54:$P$54</c:f>
              <c:numCache>
                <c:formatCode>0.00%</c:formatCode>
                <c:ptCount val="4"/>
                <c:pt idx="0">
                  <c:v>0.45575221238938052</c:v>
                </c:pt>
                <c:pt idx="1">
                  <c:v>0.70353982300884954</c:v>
                </c:pt>
                <c:pt idx="2">
                  <c:v>0.31858407079646017</c:v>
                </c:pt>
                <c:pt idx="3">
                  <c:v>0.19911504424778761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E2-4EF5-8BFD-C51581E3BF33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'7.统计'!$M$41:$P$41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'7.统计'!$M$55:$P$55</c:f>
              <c:numCache>
                <c:formatCode>0.00%</c:formatCode>
                <c:ptCount val="4"/>
                <c:pt idx="0">
                  <c:v>0.39504132231404959</c:v>
                </c:pt>
                <c:pt idx="1">
                  <c:v>0.76694214876033062</c:v>
                </c:pt>
                <c:pt idx="2">
                  <c:v>0.37851239669421488</c:v>
                </c:pt>
                <c:pt idx="3">
                  <c:v>0.23140495867768596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E2-4EF5-8BFD-C51581E3BF33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'7.统计'!$M$41:$P$41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'7.统计'!$M$56:$P$56</c:f>
              <c:numCache>
                <c:formatCode>0.00%</c:formatCode>
                <c:ptCount val="4"/>
                <c:pt idx="0">
                  <c:v>0.42905982905982903</c:v>
                </c:pt>
                <c:pt idx="1">
                  <c:v>0.7367521367521368</c:v>
                </c:pt>
                <c:pt idx="2">
                  <c:v>0.41880341880341881</c:v>
                </c:pt>
                <c:pt idx="3">
                  <c:v>0.2153846153846154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E2-4EF5-8BFD-C51581E3BF33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'7.统计'!$M$41:$P$41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'7.统计'!$M$57:$P$57</c:f>
              <c:numCache>
                <c:formatCode>0.00%</c:formatCode>
                <c:ptCount val="4"/>
                <c:pt idx="0">
                  <c:v>0.45307068366164543</c:v>
                </c:pt>
                <c:pt idx="1">
                  <c:v>0.81691772885283898</c:v>
                </c:pt>
                <c:pt idx="2">
                  <c:v>0.36964078794901506</c:v>
                </c:pt>
                <c:pt idx="3">
                  <c:v>0.22827346465816917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E2-4EF5-8BFD-C51581E3BF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'7.统计'!$Q$41:$S$41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'7.统计'!$Q$50:$S$50</c:f>
              <c:numCache>
                <c:formatCode>0.00%</c:formatCode>
                <c:ptCount val="3"/>
                <c:pt idx="0">
                  <c:v>0.56732891832229582</c:v>
                </c:pt>
                <c:pt idx="1">
                  <c:v>0.31346578366445915</c:v>
                </c:pt>
                <c:pt idx="2">
                  <c:v>0.11920529801324503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1-4D54-8C93-BF6A9CE4545F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'7.统计'!$Q$41:$S$41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'7.统计'!$Q$51:$S$51</c:f>
              <c:numCache>
                <c:formatCode>0.00%</c:formatCode>
                <c:ptCount val="3"/>
                <c:pt idx="0">
                  <c:v>0.54722222222222228</c:v>
                </c:pt>
                <c:pt idx="1">
                  <c:v>0.37037037037037035</c:v>
                </c:pt>
                <c:pt idx="2">
                  <c:v>8.2407407407407401E-2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1-4D54-8C93-BF6A9CE4545F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'7.统计'!$Q$41:$S$41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'7.统计'!$Q$52:$S$52</c:f>
              <c:numCache>
                <c:formatCode>0.00%</c:formatCode>
                <c:ptCount val="3"/>
                <c:pt idx="0">
                  <c:v>0.5794621026894865</c:v>
                </c:pt>
                <c:pt idx="1">
                  <c:v>0.34107579462102688</c:v>
                </c:pt>
                <c:pt idx="2">
                  <c:v>7.9462102689486558E-2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A1-4D54-8C93-BF6A9CE4545F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'7.统计'!$Q$41:$S$41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'7.统计'!$Q$53:$S$53</c:f>
              <c:numCache>
                <c:formatCode>0.00%</c:formatCode>
                <c:ptCount val="3"/>
                <c:pt idx="0">
                  <c:v>0.59797724399494312</c:v>
                </c:pt>
                <c:pt idx="1">
                  <c:v>0.32111251580278127</c:v>
                </c:pt>
                <c:pt idx="2">
                  <c:v>8.0910240202275607E-2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A1-4D54-8C93-BF6A9CE4545F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'7.统计'!$Q$41:$S$41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'7.统计'!$Q$54:$S$54</c:f>
              <c:numCache>
                <c:formatCode>0.00%</c:formatCode>
                <c:ptCount val="3"/>
                <c:pt idx="0">
                  <c:v>0.55309734513274333</c:v>
                </c:pt>
                <c:pt idx="1">
                  <c:v>0.37168141592920356</c:v>
                </c:pt>
                <c:pt idx="2">
                  <c:v>7.5221238938053103E-2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A1-4D54-8C93-BF6A9CE4545F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'7.统计'!$Q$41:$S$41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'7.统计'!$Q$55:$S$55</c:f>
              <c:numCache>
                <c:formatCode>0.00%</c:formatCode>
                <c:ptCount val="3"/>
                <c:pt idx="0">
                  <c:v>0.52727272727272723</c:v>
                </c:pt>
                <c:pt idx="1">
                  <c:v>0.39338842975206612</c:v>
                </c:pt>
                <c:pt idx="2">
                  <c:v>7.9338842975206617E-2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A1-4D54-8C93-BF6A9CE4545F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'7.统计'!$Q$41:$S$41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'7.统计'!$Q$56:$S$56</c:f>
              <c:numCache>
                <c:formatCode>0.00%</c:formatCode>
                <c:ptCount val="3"/>
                <c:pt idx="0">
                  <c:v>0.5675213675213675</c:v>
                </c:pt>
                <c:pt idx="1">
                  <c:v>0.34358974358974359</c:v>
                </c:pt>
                <c:pt idx="2">
                  <c:v>8.8888888888888892E-2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A1-4D54-8C93-BF6A9CE4545F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'7.统计'!$Q$41:$S$41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'7.统计'!$Q$57:$S$57</c:f>
              <c:numCache>
                <c:formatCode>0.00%</c:formatCode>
                <c:ptCount val="3"/>
                <c:pt idx="0">
                  <c:v>0.57937427578215528</c:v>
                </c:pt>
                <c:pt idx="1">
                  <c:v>0.33487833140208573</c:v>
                </c:pt>
                <c:pt idx="2">
                  <c:v>8.574739281575898E-2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A1-4D54-8C93-BF6A9CE454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'7.统计'!$T$41:$V$41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'7.统计'!$T$50:$V$50</c:f>
              <c:numCache>
                <c:formatCode>0.00%</c:formatCode>
                <c:ptCount val="3"/>
                <c:pt idx="0">
                  <c:v>0.40176600441501104</c:v>
                </c:pt>
                <c:pt idx="1">
                  <c:v>0.42384105960264901</c:v>
                </c:pt>
                <c:pt idx="2">
                  <c:v>0.17439293598233996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A-458C-984A-454C5AAE364A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'7.统计'!$T$41:$V$41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'7.统计'!$T$51:$V$51</c:f>
              <c:numCache>
                <c:formatCode>0.00%</c:formatCode>
                <c:ptCount val="3"/>
                <c:pt idx="0">
                  <c:v>0.37037037037037035</c:v>
                </c:pt>
                <c:pt idx="1">
                  <c:v>0.44351851851851853</c:v>
                </c:pt>
                <c:pt idx="2">
                  <c:v>0.18611111111111112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A-458C-984A-454C5AAE364A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'7.统计'!$T$41:$V$41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'7.统计'!$T$52:$V$52</c:f>
              <c:numCache>
                <c:formatCode>0.00%</c:formatCode>
                <c:ptCount val="3"/>
                <c:pt idx="0">
                  <c:v>0.30929095354523228</c:v>
                </c:pt>
                <c:pt idx="1">
                  <c:v>0.43276283618581907</c:v>
                </c:pt>
                <c:pt idx="2">
                  <c:v>0.25794621026894865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2A-458C-984A-454C5AAE364A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'7.统计'!$T$41:$V$41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'7.统计'!$T$53:$V$53</c:f>
              <c:numCache>
                <c:formatCode>0.00%</c:formatCode>
                <c:ptCount val="3"/>
                <c:pt idx="0">
                  <c:v>0.34513274336283184</c:v>
                </c:pt>
                <c:pt idx="1">
                  <c:v>0.42351453855878635</c:v>
                </c:pt>
                <c:pt idx="2">
                  <c:v>0.23135271807838179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2A-458C-984A-454C5AAE364A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'7.统计'!$T$41:$V$41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'7.统计'!$T$54:$V$54</c:f>
              <c:numCache>
                <c:formatCode>0.00%</c:formatCode>
                <c:ptCount val="3"/>
                <c:pt idx="0">
                  <c:v>0.38495575221238937</c:v>
                </c:pt>
                <c:pt idx="1">
                  <c:v>0.4247787610619469</c:v>
                </c:pt>
                <c:pt idx="2">
                  <c:v>0.19026548672566371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2A-458C-984A-454C5AAE364A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'7.统计'!$T$41:$V$41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'7.统计'!$T$55:$V$55</c:f>
              <c:numCache>
                <c:formatCode>0.00%</c:formatCode>
                <c:ptCount val="3"/>
                <c:pt idx="0">
                  <c:v>0.26942148760330581</c:v>
                </c:pt>
                <c:pt idx="1">
                  <c:v>0.46776859504132229</c:v>
                </c:pt>
                <c:pt idx="2">
                  <c:v>0.2628099173553719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2A-458C-984A-454C5AAE364A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'7.统计'!$T$41:$V$41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'7.统计'!$T$56:$V$56</c:f>
              <c:numCache>
                <c:formatCode>0.00%</c:formatCode>
                <c:ptCount val="3"/>
                <c:pt idx="0">
                  <c:v>0.29914529914529914</c:v>
                </c:pt>
                <c:pt idx="1">
                  <c:v>0.46837606837606838</c:v>
                </c:pt>
                <c:pt idx="2">
                  <c:v>0.23247863247863249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2A-458C-984A-454C5AAE364A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'7.统计'!$T$41:$V$41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'7.统计'!$T$57:$V$57</c:f>
              <c:numCache>
                <c:formatCode>0.00%</c:formatCode>
                <c:ptCount val="3"/>
                <c:pt idx="0">
                  <c:v>0.34183082271147164</c:v>
                </c:pt>
                <c:pt idx="1">
                  <c:v>0.40440324449594439</c:v>
                </c:pt>
                <c:pt idx="2">
                  <c:v>0.25376593279258403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2A-458C-984A-454C5AAE36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'7.统计'!$W$41:$Y$41</c:f>
              <c:strCache>
                <c:ptCount val="3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</c:strCache>
            </c:strRef>
          </c:cat>
          <c:val>
            <c:numRef>
              <c:f>'7.统计'!$W$50:$Y$50</c:f>
              <c:numCache>
                <c:formatCode>0.00%</c:formatCode>
                <c:ptCount val="3"/>
                <c:pt idx="0">
                  <c:v>0.45695364238410596</c:v>
                </c:pt>
                <c:pt idx="1">
                  <c:v>0.54746136865342165</c:v>
                </c:pt>
                <c:pt idx="2">
                  <c:v>0.46136865342163358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9-46BA-86E6-C0BA9062436E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'7.统计'!$W$41:$Y$41</c:f>
              <c:strCache>
                <c:ptCount val="3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</c:strCache>
            </c:strRef>
          </c:cat>
          <c:val>
            <c:numRef>
              <c:f>'7.统计'!$W$51:$Y$51</c:f>
              <c:numCache>
                <c:formatCode>0.00%</c:formatCode>
                <c:ptCount val="3"/>
                <c:pt idx="0">
                  <c:v>0.46388888888888891</c:v>
                </c:pt>
                <c:pt idx="1">
                  <c:v>0.5712962962962963</c:v>
                </c:pt>
                <c:pt idx="2">
                  <c:v>0.44907407407407407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9-46BA-86E6-C0BA9062436E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'7.统计'!$W$41:$Y$41</c:f>
              <c:strCache>
                <c:ptCount val="3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</c:strCache>
            </c:strRef>
          </c:cat>
          <c:val>
            <c:numRef>
              <c:f>'7.统计'!$W$52:$Y$52</c:f>
              <c:numCache>
                <c:formatCode>0.00%</c:formatCode>
                <c:ptCount val="3"/>
                <c:pt idx="0">
                  <c:v>0.5317848410757946</c:v>
                </c:pt>
                <c:pt idx="1">
                  <c:v>0.61124694376528121</c:v>
                </c:pt>
                <c:pt idx="2">
                  <c:v>0.4841075794621027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09-46BA-86E6-C0BA9062436E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'7.统计'!$W$41:$Y$41</c:f>
              <c:strCache>
                <c:ptCount val="3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</c:strCache>
            </c:strRef>
          </c:cat>
          <c:val>
            <c:numRef>
              <c:f>'7.统计'!$W$53:$Y$53</c:f>
              <c:numCache>
                <c:formatCode>0.00%</c:formatCode>
                <c:ptCount val="3"/>
                <c:pt idx="0">
                  <c:v>0.48166877370417194</c:v>
                </c:pt>
                <c:pt idx="1">
                  <c:v>0.65486725663716816</c:v>
                </c:pt>
                <c:pt idx="2">
                  <c:v>0.4222503160556258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09-46BA-86E6-C0BA9062436E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'7.统计'!$W$41:$Y$41</c:f>
              <c:strCache>
                <c:ptCount val="3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</c:strCache>
            </c:strRef>
          </c:cat>
          <c:val>
            <c:numRef>
              <c:f>'7.统计'!$W$54:$Y$54</c:f>
              <c:numCache>
                <c:formatCode>0.00%</c:formatCode>
                <c:ptCount val="3"/>
                <c:pt idx="0">
                  <c:v>0.44247787610619471</c:v>
                </c:pt>
                <c:pt idx="1">
                  <c:v>0.64601769911504425</c:v>
                </c:pt>
                <c:pt idx="2">
                  <c:v>0.44690265486725661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09-46BA-86E6-C0BA9062436E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'7.统计'!$W$41:$Y$41</c:f>
              <c:strCache>
                <c:ptCount val="3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</c:strCache>
            </c:strRef>
          </c:cat>
          <c:val>
            <c:numRef>
              <c:f>'7.统计'!$W$55:$Y$55</c:f>
              <c:numCache>
                <c:formatCode>0.00%</c:formatCode>
                <c:ptCount val="3"/>
                <c:pt idx="0">
                  <c:v>0.40661157024793387</c:v>
                </c:pt>
                <c:pt idx="1">
                  <c:v>0.60826446280991731</c:v>
                </c:pt>
                <c:pt idx="2">
                  <c:v>0.48925619834710743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09-46BA-86E6-C0BA9062436E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'7.统计'!$W$41:$Y$41</c:f>
              <c:strCache>
                <c:ptCount val="3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</c:strCache>
            </c:strRef>
          </c:cat>
          <c:val>
            <c:numRef>
              <c:f>'7.统计'!$W$56:$Y$56</c:f>
              <c:numCache>
                <c:formatCode>0.00%</c:formatCode>
                <c:ptCount val="3"/>
                <c:pt idx="0">
                  <c:v>0.42051282051282052</c:v>
                </c:pt>
                <c:pt idx="1">
                  <c:v>0.61367521367521372</c:v>
                </c:pt>
                <c:pt idx="2">
                  <c:v>0.45299145299145299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09-46BA-86E6-C0BA9062436E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'7.统计'!$W$41:$Y$41</c:f>
              <c:strCache>
                <c:ptCount val="3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</c:strCache>
            </c:strRef>
          </c:cat>
          <c:val>
            <c:numRef>
              <c:f>'7.统计'!$W$57:$Y$57</c:f>
              <c:numCache>
                <c:formatCode>0.00%</c:formatCode>
                <c:ptCount val="3"/>
                <c:pt idx="0">
                  <c:v>0.47276940903823872</c:v>
                </c:pt>
                <c:pt idx="1">
                  <c:v>0.69640787949015059</c:v>
                </c:pt>
                <c:pt idx="2">
                  <c:v>0.42641946697566629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09-46BA-86E6-C0BA906243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'7.统计'!$Z$41:$AB$41</c:f>
              <c:strCache>
                <c:ptCount val="3"/>
                <c:pt idx="0">
                  <c:v>D.商品基金</c:v>
                </c:pt>
                <c:pt idx="1">
                  <c:v>E.多元配置型FOF产品</c:v>
                </c:pt>
                <c:pt idx="2">
                  <c:v>F.其他基金产品</c:v>
                </c:pt>
              </c:strCache>
            </c:strRef>
          </c:cat>
          <c:val>
            <c:numRef>
              <c:f>'7.统计'!$Z$50:$AB$50</c:f>
              <c:numCache>
                <c:formatCode>0.00%</c:formatCode>
                <c:ptCount val="3"/>
                <c:pt idx="0">
                  <c:v>0.13245033112582782</c:v>
                </c:pt>
                <c:pt idx="1">
                  <c:v>0.19426048565121412</c:v>
                </c:pt>
                <c:pt idx="2">
                  <c:v>4.6357615894039736E-2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8-41F8-B6E8-B2B2B7247B32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'7.统计'!$Z$41:$AB$41</c:f>
              <c:strCache>
                <c:ptCount val="3"/>
                <c:pt idx="0">
                  <c:v>D.商品基金</c:v>
                </c:pt>
                <c:pt idx="1">
                  <c:v>E.多元配置型FOF产品</c:v>
                </c:pt>
                <c:pt idx="2">
                  <c:v>F.其他基金产品</c:v>
                </c:pt>
              </c:strCache>
            </c:strRef>
          </c:cat>
          <c:val>
            <c:numRef>
              <c:f>'7.统计'!$Z$51:$AB$51</c:f>
              <c:numCache>
                <c:formatCode>0.00%</c:formatCode>
                <c:ptCount val="3"/>
                <c:pt idx="0">
                  <c:v>0.17037037037037037</c:v>
                </c:pt>
                <c:pt idx="1">
                  <c:v>0.20925925925925926</c:v>
                </c:pt>
                <c:pt idx="2">
                  <c:v>2.9629629629629631E-2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8-41F8-B6E8-B2B2B7247B32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'7.统计'!$Z$41:$AB$41</c:f>
              <c:strCache>
                <c:ptCount val="3"/>
                <c:pt idx="0">
                  <c:v>D.商品基金</c:v>
                </c:pt>
                <c:pt idx="1">
                  <c:v>E.多元配置型FOF产品</c:v>
                </c:pt>
                <c:pt idx="2">
                  <c:v>F.其他基金产品</c:v>
                </c:pt>
              </c:strCache>
            </c:strRef>
          </c:cat>
          <c:val>
            <c:numRef>
              <c:f>'7.统计'!$Z$52:$AB$52</c:f>
              <c:numCache>
                <c:formatCode>0.00%</c:formatCode>
                <c:ptCount val="3"/>
                <c:pt idx="0">
                  <c:v>0.19682151589242053</c:v>
                </c:pt>
                <c:pt idx="1">
                  <c:v>0.32151589242053791</c:v>
                </c:pt>
                <c:pt idx="2">
                  <c:v>4.5232273838630807E-2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8-41F8-B6E8-B2B2B7247B32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'7.统计'!$Z$41:$AB$41</c:f>
              <c:strCache>
                <c:ptCount val="3"/>
                <c:pt idx="0">
                  <c:v>D.商品基金</c:v>
                </c:pt>
                <c:pt idx="1">
                  <c:v>E.多元配置型FOF产品</c:v>
                </c:pt>
                <c:pt idx="2">
                  <c:v>F.其他基金产品</c:v>
                </c:pt>
              </c:strCache>
            </c:strRef>
          </c:cat>
          <c:val>
            <c:numRef>
              <c:f>'7.统计'!$Z$53:$AB$53</c:f>
              <c:numCache>
                <c:formatCode>0.00%</c:formatCode>
                <c:ptCount val="3"/>
                <c:pt idx="0">
                  <c:v>0.12642225031605561</c:v>
                </c:pt>
                <c:pt idx="1">
                  <c:v>0.33501896333754738</c:v>
                </c:pt>
                <c:pt idx="2">
                  <c:v>6.447534766118837E-2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8-41F8-B6E8-B2B2B7247B32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'7.统计'!$Z$41:$AB$41</c:f>
              <c:strCache>
                <c:ptCount val="3"/>
                <c:pt idx="0">
                  <c:v>D.商品基金</c:v>
                </c:pt>
                <c:pt idx="1">
                  <c:v>E.多元配置型FOF产品</c:v>
                </c:pt>
                <c:pt idx="2">
                  <c:v>F.其他基金产品</c:v>
                </c:pt>
              </c:strCache>
            </c:strRef>
          </c:cat>
          <c:val>
            <c:numRef>
              <c:f>'7.统计'!$Z$54:$AB$54</c:f>
              <c:numCache>
                <c:formatCode>0.00%</c:formatCode>
                <c:ptCount val="3"/>
                <c:pt idx="0">
                  <c:v>0.13716814159292035</c:v>
                </c:pt>
                <c:pt idx="1">
                  <c:v>0.24778761061946902</c:v>
                </c:pt>
                <c:pt idx="2">
                  <c:v>2.2123893805309734E-2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8-41F8-B6E8-B2B2B7247B32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'7.统计'!$Z$41:$AB$41</c:f>
              <c:strCache>
                <c:ptCount val="3"/>
                <c:pt idx="0">
                  <c:v>D.商品基金</c:v>
                </c:pt>
                <c:pt idx="1">
                  <c:v>E.多元配置型FOF产品</c:v>
                </c:pt>
                <c:pt idx="2">
                  <c:v>F.其他基金产品</c:v>
                </c:pt>
              </c:strCache>
            </c:strRef>
          </c:cat>
          <c:val>
            <c:numRef>
              <c:f>'7.统计'!$Z$55:$AB$55</c:f>
              <c:numCache>
                <c:formatCode>0.00%</c:formatCode>
                <c:ptCount val="3"/>
                <c:pt idx="0">
                  <c:v>0.17685950413223139</c:v>
                </c:pt>
                <c:pt idx="1">
                  <c:v>0.25950413223140495</c:v>
                </c:pt>
                <c:pt idx="2">
                  <c:v>2.6446280991735537E-2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8-41F8-B6E8-B2B2B7247B32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'7.统计'!$Z$41:$AB$41</c:f>
              <c:strCache>
                <c:ptCount val="3"/>
                <c:pt idx="0">
                  <c:v>D.商品基金</c:v>
                </c:pt>
                <c:pt idx="1">
                  <c:v>E.多元配置型FOF产品</c:v>
                </c:pt>
                <c:pt idx="2">
                  <c:v>F.其他基金产品</c:v>
                </c:pt>
              </c:strCache>
            </c:strRef>
          </c:cat>
          <c:val>
            <c:numRef>
              <c:f>'7.统计'!$Z$56:$AB$56</c:f>
              <c:numCache>
                <c:formatCode>0.00%</c:formatCode>
                <c:ptCount val="3"/>
                <c:pt idx="0">
                  <c:v>0.15042735042735042</c:v>
                </c:pt>
                <c:pt idx="1">
                  <c:v>0.29059829059829062</c:v>
                </c:pt>
                <c:pt idx="2">
                  <c:v>3.7606837606837605E-2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8-41F8-B6E8-B2B2B7247B32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'7.统计'!$Z$41:$AB$41</c:f>
              <c:strCache>
                <c:ptCount val="3"/>
                <c:pt idx="0">
                  <c:v>D.商品基金</c:v>
                </c:pt>
                <c:pt idx="1">
                  <c:v>E.多元配置型FOF产品</c:v>
                </c:pt>
                <c:pt idx="2">
                  <c:v>F.其他基金产品</c:v>
                </c:pt>
              </c:strCache>
            </c:strRef>
          </c:cat>
          <c:val>
            <c:numRef>
              <c:f>'7.统计'!$Z$57:$AB$57</c:f>
              <c:numCache>
                <c:formatCode>0.00%</c:formatCode>
                <c:ptCount val="3"/>
                <c:pt idx="0">
                  <c:v>0.11703360370799537</c:v>
                </c:pt>
                <c:pt idx="1">
                  <c:v>0.33140208574739283</c:v>
                </c:pt>
                <c:pt idx="2">
                  <c:v>6.9524913093858637E-2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48-41F8-B6E8-B2B2B7247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'7.统计'!$AC$41:$AE$41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'7.统计'!$AC$50:$AE$50</c:f>
              <c:numCache>
                <c:formatCode>0.00%</c:formatCode>
                <c:ptCount val="3"/>
                <c:pt idx="0">
                  <c:v>0.43929359823399561</c:v>
                </c:pt>
                <c:pt idx="1">
                  <c:v>0.44150110375275936</c:v>
                </c:pt>
                <c:pt idx="2">
                  <c:v>0.11920529801324503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B-40ED-BA54-2F372423BA2B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'7.统计'!$AC$41:$AE$41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'7.统计'!$AC$51:$AE$51</c:f>
              <c:numCache>
                <c:formatCode>0.00%</c:formatCode>
                <c:ptCount val="3"/>
                <c:pt idx="0">
                  <c:v>0.52037037037037037</c:v>
                </c:pt>
                <c:pt idx="1">
                  <c:v>0.40277777777777779</c:v>
                </c:pt>
                <c:pt idx="2">
                  <c:v>7.6851851851851852E-2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B-40ED-BA54-2F372423BA2B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'7.统计'!$AC$41:$AE$41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'7.统计'!$AC$52:$AE$52</c:f>
              <c:numCache>
                <c:formatCode>0.00%</c:formatCode>
                <c:ptCount val="3"/>
                <c:pt idx="0">
                  <c:v>0.42909535452322739</c:v>
                </c:pt>
                <c:pt idx="1">
                  <c:v>0.46332518337408313</c:v>
                </c:pt>
                <c:pt idx="2">
                  <c:v>0.10635696821515893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0B-40ED-BA54-2F372423BA2B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'7.统计'!$AC$41:$AE$41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'7.统计'!$AC$53:$AE$53</c:f>
              <c:numCache>
                <c:formatCode>0.00%</c:formatCode>
                <c:ptCount val="3"/>
                <c:pt idx="0">
                  <c:v>0.42983565107458915</c:v>
                </c:pt>
                <c:pt idx="1">
                  <c:v>0.43742098609355246</c:v>
                </c:pt>
                <c:pt idx="2">
                  <c:v>0.13274336283185842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0B-40ED-BA54-2F372423BA2B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'7.统计'!$AC$41:$AE$41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'7.统计'!$AC$54:$AE$54</c:f>
              <c:numCache>
                <c:formatCode>0.00%</c:formatCode>
                <c:ptCount val="3"/>
                <c:pt idx="0">
                  <c:v>0.40265486725663718</c:v>
                </c:pt>
                <c:pt idx="1">
                  <c:v>0.41592920353982299</c:v>
                </c:pt>
                <c:pt idx="2">
                  <c:v>0.17699115044247787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0B-40ED-BA54-2F372423BA2B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'7.统计'!$AC$41:$AE$41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'7.统计'!$AC$55:$AE$55</c:f>
              <c:numCache>
                <c:formatCode>0.00%</c:formatCode>
                <c:ptCount val="3"/>
                <c:pt idx="0">
                  <c:v>0.33553719008264465</c:v>
                </c:pt>
                <c:pt idx="1">
                  <c:v>0.57520661157024788</c:v>
                </c:pt>
                <c:pt idx="2">
                  <c:v>8.9256198347107435E-2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0B-40ED-BA54-2F372423BA2B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'7.统计'!$AC$41:$AE$41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'7.统计'!$AC$56:$AE$56</c:f>
              <c:numCache>
                <c:formatCode>0.00%</c:formatCode>
                <c:ptCount val="3"/>
                <c:pt idx="0">
                  <c:v>0.38974358974358975</c:v>
                </c:pt>
                <c:pt idx="1">
                  <c:v>0.517948717948718</c:v>
                </c:pt>
                <c:pt idx="2">
                  <c:v>9.2307692307692313E-2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0B-40ED-BA54-2F372423BA2B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'7.统计'!$AC$41:$AE$41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'7.统计'!$AC$57:$AE$57</c:f>
              <c:numCache>
                <c:formatCode>0.00%</c:formatCode>
                <c:ptCount val="3"/>
                <c:pt idx="0">
                  <c:v>0.38006952491309387</c:v>
                </c:pt>
                <c:pt idx="1">
                  <c:v>0.48899188876013905</c:v>
                </c:pt>
                <c:pt idx="2">
                  <c:v>0.13093858632676708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0B-40ED-BA54-2F372423BA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'7.统计'!$AF$41:$AI$41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'7.统计'!$AF$50:$AI$50</c:f>
              <c:numCache>
                <c:formatCode>0.00%</c:formatCode>
                <c:ptCount val="4"/>
                <c:pt idx="0">
                  <c:v>0.26269315673289184</c:v>
                </c:pt>
                <c:pt idx="1">
                  <c:v>0.4083885209713024</c:v>
                </c:pt>
                <c:pt idx="2">
                  <c:v>0.20088300220750552</c:v>
                </c:pt>
                <c:pt idx="3">
                  <c:v>9.0507726269315678E-2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C-4CE3-9AD2-9AAA7AECBC35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'7.统计'!$AF$41:$AI$41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'7.统计'!$AF$51:$AI$51</c:f>
              <c:numCache>
                <c:formatCode>0.00%</c:formatCode>
                <c:ptCount val="4"/>
                <c:pt idx="0">
                  <c:v>0.1537037037037037</c:v>
                </c:pt>
                <c:pt idx="1">
                  <c:v>0.38055555555555554</c:v>
                </c:pt>
                <c:pt idx="2">
                  <c:v>0.28888888888888886</c:v>
                </c:pt>
                <c:pt idx="3">
                  <c:v>0.12685185185185185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C-4CE3-9AD2-9AAA7AECBC35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'7.统计'!$AF$41:$AI$41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'7.统计'!$AF$52:$AI$52</c:f>
              <c:numCache>
                <c:formatCode>0.00%</c:formatCode>
                <c:ptCount val="4"/>
                <c:pt idx="0">
                  <c:v>0.17359413202933985</c:v>
                </c:pt>
                <c:pt idx="1">
                  <c:v>0.3704156479217604</c:v>
                </c:pt>
                <c:pt idx="2">
                  <c:v>0.25916870415647919</c:v>
                </c:pt>
                <c:pt idx="3">
                  <c:v>0.15036674816625917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7C-4CE3-9AD2-9AAA7AECBC35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'7.统计'!$AF$41:$AI$41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'7.统计'!$AF$53:$AI$53</c:f>
              <c:numCache>
                <c:formatCode>0.00%</c:formatCode>
                <c:ptCount val="4"/>
                <c:pt idx="0">
                  <c:v>0.23514538558786346</c:v>
                </c:pt>
                <c:pt idx="1">
                  <c:v>0.38938053097345132</c:v>
                </c:pt>
                <c:pt idx="2">
                  <c:v>0.24525916561314792</c:v>
                </c:pt>
                <c:pt idx="3">
                  <c:v>8.5967130214917822E-2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7C-4CE3-9AD2-9AAA7AECBC35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'7.统计'!$AF$41:$AI$41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'7.统计'!$AF$54:$AI$54</c:f>
              <c:numCache>
                <c:formatCode>0.00%</c:formatCode>
                <c:ptCount val="4"/>
                <c:pt idx="0">
                  <c:v>0.25221238938053098</c:v>
                </c:pt>
                <c:pt idx="1">
                  <c:v>0.38053097345132741</c:v>
                </c:pt>
                <c:pt idx="2">
                  <c:v>0.24336283185840707</c:v>
                </c:pt>
                <c:pt idx="3">
                  <c:v>9.2920353982300891E-2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7C-4CE3-9AD2-9AAA7AECBC35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'7.统计'!$AF$41:$AI$41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'7.统计'!$AF$55:$AI$55</c:f>
              <c:numCache>
                <c:formatCode>0.00%</c:formatCode>
                <c:ptCount val="4"/>
                <c:pt idx="0">
                  <c:v>0.15537190082644628</c:v>
                </c:pt>
                <c:pt idx="1">
                  <c:v>0.38016528925619836</c:v>
                </c:pt>
                <c:pt idx="2">
                  <c:v>0.33719008264462808</c:v>
                </c:pt>
                <c:pt idx="3">
                  <c:v>9.4214876033057851E-2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7C-4CE3-9AD2-9AAA7AECBC35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'7.统计'!$AF$41:$AI$41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'7.统计'!$AF$56:$AI$56</c:f>
              <c:numCache>
                <c:formatCode>0.00%</c:formatCode>
                <c:ptCount val="4"/>
                <c:pt idx="0">
                  <c:v>0.17777777777777778</c:v>
                </c:pt>
                <c:pt idx="1">
                  <c:v>0.41880341880341881</c:v>
                </c:pt>
                <c:pt idx="2">
                  <c:v>0.26495726495726496</c:v>
                </c:pt>
                <c:pt idx="3">
                  <c:v>9.7435897435897437E-2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7C-4CE3-9AD2-9AAA7AECBC35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'7.统计'!$AF$41:$AI$41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'7.统计'!$AF$57:$AI$57</c:f>
              <c:numCache>
                <c:formatCode>0.00%</c:formatCode>
                <c:ptCount val="4"/>
                <c:pt idx="0">
                  <c:v>0.2665121668597914</c:v>
                </c:pt>
                <c:pt idx="1">
                  <c:v>0.39397450753186558</c:v>
                </c:pt>
                <c:pt idx="2">
                  <c:v>0.23059096176129779</c:v>
                </c:pt>
                <c:pt idx="3">
                  <c:v>7.4159907300115874E-2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7C-4CE3-9AD2-9AAA7AECBC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'7.统计'!$AJ$41:$AO$41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'7.统计'!$AJ$50:$AO$50</c:f>
              <c:numCache>
                <c:formatCode>0.00%</c:formatCode>
                <c:ptCount val="6"/>
                <c:pt idx="0">
                  <c:v>0.63134657836644592</c:v>
                </c:pt>
                <c:pt idx="1">
                  <c:v>0.20309050772626933</c:v>
                </c:pt>
                <c:pt idx="2">
                  <c:v>0.20088300220750552</c:v>
                </c:pt>
                <c:pt idx="3">
                  <c:v>0.19205298013245034</c:v>
                </c:pt>
                <c:pt idx="4">
                  <c:v>7.7262693156732898E-2</c:v>
                </c:pt>
                <c:pt idx="5">
                  <c:v>4.6357615894039736E-2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C-40D9-9F96-9513261881AB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'7.统计'!$AJ$41:$AO$41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'7.统计'!$AJ$51:$AO$51</c:f>
              <c:numCache>
                <c:formatCode>0.00%</c:formatCode>
                <c:ptCount val="6"/>
                <c:pt idx="0">
                  <c:v>0.56574074074074077</c:v>
                </c:pt>
                <c:pt idx="1">
                  <c:v>0.25462962962962965</c:v>
                </c:pt>
                <c:pt idx="2">
                  <c:v>0.19907407407407407</c:v>
                </c:pt>
                <c:pt idx="3">
                  <c:v>0.28796296296296298</c:v>
                </c:pt>
                <c:pt idx="4">
                  <c:v>0.10092592592592593</c:v>
                </c:pt>
                <c:pt idx="5">
                  <c:v>5.185185185185185E-2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C-40D9-9F96-9513261881AB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'7.统计'!$AJ$41:$AO$41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'7.统计'!$AJ$52:$AO$52</c:f>
              <c:numCache>
                <c:formatCode>0.00%</c:formatCode>
                <c:ptCount val="6"/>
                <c:pt idx="0">
                  <c:v>0.68337408312958436</c:v>
                </c:pt>
                <c:pt idx="1">
                  <c:v>0.25916870415647919</c:v>
                </c:pt>
                <c:pt idx="2">
                  <c:v>0.19315403422982885</c:v>
                </c:pt>
                <c:pt idx="3">
                  <c:v>0.34963325183374083</c:v>
                </c:pt>
                <c:pt idx="4">
                  <c:v>7.45721271393643E-2</c:v>
                </c:pt>
                <c:pt idx="5">
                  <c:v>4.2787286063569685E-2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C-40D9-9F96-9513261881AB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'7.统计'!$AJ$41:$AO$41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'7.统计'!$AJ$53:$AO$53</c:f>
              <c:numCache>
                <c:formatCode>0.00%</c:formatCode>
                <c:ptCount val="6"/>
                <c:pt idx="0">
                  <c:v>0.76864728192161824</c:v>
                </c:pt>
                <c:pt idx="1">
                  <c:v>0.16940581542351454</c:v>
                </c:pt>
                <c:pt idx="2">
                  <c:v>8.2174462705436158E-2</c:v>
                </c:pt>
                <c:pt idx="3">
                  <c:v>0.30847029077117571</c:v>
                </c:pt>
                <c:pt idx="4">
                  <c:v>4.4247787610619468E-2</c:v>
                </c:pt>
                <c:pt idx="5">
                  <c:v>9.608091024020228E-2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5C-40D9-9F96-9513261881AB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'7.统计'!$AJ$41:$AO$41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'7.统计'!$AJ$54:$AO$54</c:f>
              <c:numCache>
                <c:formatCode>0.00%</c:formatCode>
                <c:ptCount val="6"/>
                <c:pt idx="0">
                  <c:v>0.73451327433628322</c:v>
                </c:pt>
                <c:pt idx="1">
                  <c:v>0.20796460176991149</c:v>
                </c:pt>
                <c:pt idx="2">
                  <c:v>0.13716814159292035</c:v>
                </c:pt>
                <c:pt idx="3">
                  <c:v>0.31415929203539822</c:v>
                </c:pt>
                <c:pt idx="4">
                  <c:v>3.0973451327433628E-2</c:v>
                </c:pt>
                <c:pt idx="5">
                  <c:v>5.7522123893805309E-2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5C-40D9-9F96-9513261881AB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'7.统计'!$AJ$41:$AO$41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'7.统计'!$AJ$55:$AO$55</c:f>
              <c:numCache>
                <c:formatCode>0.00%</c:formatCode>
                <c:ptCount val="6"/>
                <c:pt idx="0">
                  <c:v>0.60330578512396693</c:v>
                </c:pt>
                <c:pt idx="1">
                  <c:v>0.32066115702479336</c:v>
                </c:pt>
                <c:pt idx="2">
                  <c:v>0.19008264462809918</c:v>
                </c:pt>
                <c:pt idx="3">
                  <c:v>0.28760330578512394</c:v>
                </c:pt>
                <c:pt idx="4">
                  <c:v>4.7933884297520664E-2</c:v>
                </c:pt>
                <c:pt idx="5">
                  <c:v>3.8016528925619832E-2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5C-40D9-9F96-9513261881AB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'7.统计'!$AJ$41:$AO$41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'7.统计'!$AJ$56:$AO$56</c:f>
              <c:numCache>
                <c:formatCode>0.00%</c:formatCode>
                <c:ptCount val="6"/>
                <c:pt idx="0">
                  <c:v>0.66324786324786322</c:v>
                </c:pt>
                <c:pt idx="1">
                  <c:v>0.23076923076923078</c:v>
                </c:pt>
                <c:pt idx="2">
                  <c:v>0.16923076923076924</c:v>
                </c:pt>
                <c:pt idx="3">
                  <c:v>0.31452991452991452</c:v>
                </c:pt>
                <c:pt idx="4">
                  <c:v>7.0085470085470086E-2</c:v>
                </c:pt>
                <c:pt idx="5">
                  <c:v>7.179487179487179E-2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5C-40D9-9F96-9513261881AB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'7.统计'!$AJ$41:$AO$41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'7.统计'!$AJ$57:$AO$57</c:f>
              <c:numCache>
                <c:formatCode>0.00%</c:formatCode>
                <c:ptCount val="6"/>
                <c:pt idx="0">
                  <c:v>0.74739281575898031</c:v>
                </c:pt>
                <c:pt idx="1">
                  <c:v>0.18076477404403243</c:v>
                </c:pt>
                <c:pt idx="2">
                  <c:v>7.7636152954808801E-2</c:v>
                </c:pt>
                <c:pt idx="3">
                  <c:v>0.28389339513325607</c:v>
                </c:pt>
                <c:pt idx="4">
                  <c:v>4.1714947856315181E-2</c:v>
                </c:pt>
                <c:pt idx="5">
                  <c:v>0.10776361529548088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5C-40D9-9F96-9513261881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'7.统计'!$AP$50:$AU$50</c:f>
              <c:numCache>
                <c:formatCode>0.00%</c:formatCode>
                <c:ptCount val="6"/>
                <c:pt idx="0">
                  <c:v>0.22075055187637968</c:v>
                </c:pt>
                <c:pt idx="1">
                  <c:v>0.32450331125827814</c:v>
                </c:pt>
                <c:pt idx="2">
                  <c:v>0.2251655629139073</c:v>
                </c:pt>
                <c:pt idx="3">
                  <c:v>0.41501103752759383</c:v>
                </c:pt>
                <c:pt idx="4">
                  <c:v>0.12141280353200883</c:v>
                </c:pt>
                <c:pt idx="5">
                  <c:v>5.0772626931567331E-2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C-4531-94FE-89971DCE5E41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'7.统计'!$AP$51:$AU$51</c:f>
              <c:numCache>
                <c:formatCode>0.00%</c:formatCode>
                <c:ptCount val="6"/>
                <c:pt idx="0">
                  <c:v>0.11851851851851852</c:v>
                </c:pt>
                <c:pt idx="1">
                  <c:v>0.46574074074074073</c:v>
                </c:pt>
                <c:pt idx="2">
                  <c:v>0.2388888888888889</c:v>
                </c:pt>
                <c:pt idx="3">
                  <c:v>0.47962962962962963</c:v>
                </c:pt>
                <c:pt idx="4">
                  <c:v>0.12222222222222222</c:v>
                </c:pt>
                <c:pt idx="5">
                  <c:v>2.1296296296296296E-2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C-4531-94FE-89971DCE5E41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'7.统计'!$AP$52:$AU$52</c:f>
              <c:numCache>
                <c:formatCode>0.00%</c:formatCode>
                <c:ptCount val="6"/>
                <c:pt idx="0">
                  <c:v>0.1295843520782396</c:v>
                </c:pt>
                <c:pt idx="1">
                  <c:v>0.4352078239608802</c:v>
                </c:pt>
                <c:pt idx="2">
                  <c:v>0.24327628361858192</c:v>
                </c:pt>
                <c:pt idx="3">
                  <c:v>0.59290953545232272</c:v>
                </c:pt>
                <c:pt idx="4">
                  <c:v>0.16014669926650366</c:v>
                </c:pt>
                <c:pt idx="5">
                  <c:v>2.6894865525672371E-2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CC-4531-94FE-89971DCE5E41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'7.统计'!$AP$53:$AU$53</c:f>
              <c:numCache>
                <c:formatCode>0.00%</c:formatCode>
                <c:ptCount val="6"/>
                <c:pt idx="0">
                  <c:v>0.18836915297092288</c:v>
                </c:pt>
                <c:pt idx="1">
                  <c:v>0.32111251580278127</c:v>
                </c:pt>
                <c:pt idx="2">
                  <c:v>0.19216182048040456</c:v>
                </c:pt>
                <c:pt idx="3">
                  <c:v>0.53350189633375478</c:v>
                </c:pt>
                <c:pt idx="4">
                  <c:v>0.15676359039190899</c:v>
                </c:pt>
                <c:pt idx="5">
                  <c:v>4.804045512010114E-2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CC-4531-94FE-89971DCE5E41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'7.统计'!$AP$54:$AU$54</c:f>
              <c:numCache>
                <c:formatCode>0.00%</c:formatCode>
                <c:ptCount val="6"/>
                <c:pt idx="0">
                  <c:v>0.22123893805309736</c:v>
                </c:pt>
                <c:pt idx="1">
                  <c:v>0.33628318584070799</c:v>
                </c:pt>
                <c:pt idx="2">
                  <c:v>0.2831858407079646</c:v>
                </c:pt>
                <c:pt idx="3">
                  <c:v>0.47345132743362833</c:v>
                </c:pt>
                <c:pt idx="4">
                  <c:v>0.13716814159292035</c:v>
                </c:pt>
                <c:pt idx="5">
                  <c:v>8.8495575221238937E-3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CC-4531-94FE-89971DCE5E41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'7.统计'!$AP$55:$AU$55</c:f>
              <c:numCache>
                <c:formatCode>0.00%</c:formatCode>
                <c:ptCount val="6"/>
                <c:pt idx="0">
                  <c:v>0.11735537190082644</c:v>
                </c:pt>
                <c:pt idx="1">
                  <c:v>0.48760330578512395</c:v>
                </c:pt>
                <c:pt idx="2">
                  <c:v>0.2628099173553719</c:v>
                </c:pt>
                <c:pt idx="3">
                  <c:v>0.48925619834710743</c:v>
                </c:pt>
                <c:pt idx="4">
                  <c:v>0.13884297520661157</c:v>
                </c:pt>
                <c:pt idx="5">
                  <c:v>1.8181818181818181E-2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CC-4531-94FE-89971DCE5E41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'7.统计'!$AP$56:$AU$56</c:f>
              <c:numCache>
                <c:formatCode>0.00%</c:formatCode>
                <c:ptCount val="6"/>
                <c:pt idx="0">
                  <c:v>0.11282051282051282</c:v>
                </c:pt>
                <c:pt idx="1">
                  <c:v>0.42051282051282052</c:v>
                </c:pt>
                <c:pt idx="2">
                  <c:v>0.24615384615384617</c:v>
                </c:pt>
                <c:pt idx="3">
                  <c:v>0.52478632478632481</c:v>
                </c:pt>
                <c:pt idx="4">
                  <c:v>0.14188034188034188</c:v>
                </c:pt>
                <c:pt idx="5">
                  <c:v>2.735042735042735E-2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C-4531-94FE-89971DCE5E41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'7.统计'!$AP$57:$AU$57</c:f>
              <c:numCache>
                <c:formatCode>0.00%</c:formatCode>
                <c:ptCount val="6"/>
                <c:pt idx="0">
                  <c:v>0.16801853997682503</c:v>
                </c:pt>
                <c:pt idx="1">
                  <c:v>0.33256083429895711</c:v>
                </c:pt>
                <c:pt idx="2">
                  <c:v>0.20393974507531865</c:v>
                </c:pt>
                <c:pt idx="3">
                  <c:v>0.54229432213209738</c:v>
                </c:pt>
                <c:pt idx="4">
                  <c:v>0.13789107763615296</c:v>
                </c:pt>
                <c:pt idx="5">
                  <c:v>5.909617612977984E-2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CC-4531-94FE-89971DCE5E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'7.统计'!$AV$50:$BA$50</c:f>
              <c:numCache>
                <c:formatCode>0.00%</c:formatCode>
                <c:ptCount val="6"/>
                <c:pt idx="0">
                  <c:v>0.39293598233995586</c:v>
                </c:pt>
                <c:pt idx="1">
                  <c:v>0.32008830022075058</c:v>
                </c:pt>
                <c:pt idx="2">
                  <c:v>0.33112582781456956</c:v>
                </c:pt>
                <c:pt idx="3">
                  <c:v>0.27152317880794702</c:v>
                </c:pt>
                <c:pt idx="4">
                  <c:v>0.13024282560706402</c:v>
                </c:pt>
                <c:pt idx="5">
                  <c:v>6.1810154525386317E-2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8-4BD2-A5DF-0FC244239E04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'7.统计'!$AV$51:$BA$51</c:f>
              <c:numCache>
                <c:formatCode>0.00%</c:formatCode>
                <c:ptCount val="6"/>
                <c:pt idx="0">
                  <c:v>0.37685185185185183</c:v>
                </c:pt>
                <c:pt idx="1">
                  <c:v>0.34722222222222221</c:v>
                </c:pt>
                <c:pt idx="2">
                  <c:v>0.37314814814814817</c:v>
                </c:pt>
                <c:pt idx="3">
                  <c:v>0.31203703703703706</c:v>
                </c:pt>
                <c:pt idx="4">
                  <c:v>0.1425925925925926</c:v>
                </c:pt>
                <c:pt idx="5">
                  <c:v>4.4444444444444446E-2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8-4BD2-A5DF-0FC244239E04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'7.统计'!$AV$52:$BA$52</c:f>
              <c:numCache>
                <c:formatCode>0.00%</c:formatCode>
                <c:ptCount val="6"/>
                <c:pt idx="0">
                  <c:v>0.39364303178484106</c:v>
                </c:pt>
                <c:pt idx="1">
                  <c:v>0.32518337408312958</c:v>
                </c:pt>
                <c:pt idx="2">
                  <c:v>0.46088019559902199</c:v>
                </c:pt>
                <c:pt idx="3">
                  <c:v>0.41564792176039123</c:v>
                </c:pt>
                <c:pt idx="4">
                  <c:v>0.16625916870415647</c:v>
                </c:pt>
                <c:pt idx="5">
                  <c:v>5.1344743276283619E-2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68-4BD2-A5DF-0FC244239E04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'7.统计'!$AV$53:$BA$53</c:f>
              <c:numCache>
                <c:formatCode>0.00%</c:formatCode>
                <c:ptCount val="6"/>
                <c:pt idx="0">
                  <c:v>0.44500632111251581</c:v>
                </c:pt>
                <c:pt idx="1">
                  <c:v>0.2831858407079646</c:v>
                </c:pt>
                <c:pt idx="2">
                  <c:v>0.42098609355246525</c:v>
                </c:pt>
                <c:pt idx="3">
                  <c:v>0.347661188369153</c:v>
                </c:pt>
                <c:pt idx="4">
                  <c:v>0.13274336283185842</c:v>
                </c:pt>
                <c:pt idx="5">
                  <c:v>9.7345132743362831E-2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68-4BD2-A5DF-0FC244239E04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'7.统计'!$AV$54:$BA$54</c:f>
              <c:numCache>
                <c:formatCode>0.00%</c:formatCode>
                <c:ptCount val="6"/>
                <c:pt idx="0">
                  <c:v>0.36283185840707965</c:v>
                </c:pt>
                <c:pt idx="1">
                  <c:v>0.36283185840707965</c:v>
                </c:pt>
                <c:pt idx="2">
                  <c:v>0.43805309734513276</c:v>
                </c:pt>
                <c:pt idx="3">
                  <c:v>0.31858407079646017</c:v>
                </c:pt>
                <c:pt idx="4">
                  <c:v>0.13274336283185842</c:v>
                </c:pt>
                <c:pt idx="5">
                  <c:v>2.6548672566371681E-2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8-4BD2-A5DF-0FC244239E04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'7.统计'!$AV$55:$BA$55</c:f>
              <c:numCache>
                <c:formatCode>0.00%</c:formatCode>
                <c:ptCount val="6"/>
                <c:pt idx="0">
                  <c:v>0.3669421487603306</c:v>
                </c:pt>
                <c:pt idx="1">
                  <c:v>0.36528925619834712</c:v>
                </c:pt>
                <c:pt idx="2">
                  <c:v>0.45123966942148758</c:v>
                </c:pt>
                <c:pt idx="3">
                  <c:v>0.38842975206611569</c:v>
                </c:pt>
                <c:pt idx="4">
                  <c:v>0.13884297520661157</c:v>
                </c:pt>
                <c:pt idx="5">
                  <c:v>3.4710743801652892E-2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68-4BD2-A5DF-0FC244239E04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'7.统计'!$AV$56:$BA$56</c:f>
              <c:numCache>
                <c:formatCode>0.00%</c:formatCode>
                <c:ptCount val="6"/>
                <c:pt idx="0">
                  <c:v>0.35555555555555557</c:v>
                </c:pt>
                <c:pt idx="1">
                  <c:v>0.30940170940170941</c:v>
                </c:pt>
                <c:pt idx="2">
                  <c:v>0.43931623931623931</c:v>
                </c:pt>
                <c:pt idx="3">
                  <c:v>0.33333333333333331</c:v>
                </c:pt>
                <c:pt idx="4">
                  <c:v>0.15384615384615385</c:v>
                </c:pt>
                <c:pt idx="5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68-4BD2-A5DF-0FC244239E04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'7.统计'!$AV$57:$BA$57</c:f>
              <c:numCache>
                <c:formatCode>0.00%</c:formatCode>
                <c:ptCount val="6"/>
                <c:pt idx="0">
                  <c:v>0.39976825028968715</c:v>
                </c:pt>
                <c:pt idx="1">
                  <c:v>0.27578215527230593</c:v>
                </c:pt>
                <c:pt idx="2">
                  <c:v>0.42989571263035919</c:v>
                </c:pt>
                <c:pt idx="3">
                  <c:v>0.34183082271147164</c:v>
                </c:pt>
                <c:pt idx="4">
                  <c:v>0.13209733487833139</c:v>
                </c:pt>
                <c:pt idx="5">
                  <c:v>0.13209733487833139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68-4BD2-A5DF-0FC244239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'7.统计'!$BB$50:$BE$50</c:f>
              <c:numCache>
                <c:formatCode>0.00%</c:formatCode>
                <c:ptCount val="4"/>
                <c:pt idx="0">
                  <c:v>0.3443708609271523</c:v>
                </c:pt>
                <c:pt idx="1">
                  <c:v>0.3443708609271523</c:v>
                </c:pt>
                <c:pt idx="2">
                  <c:v>0.19205298013245034</c:v>
                </c:pt>
                <c:pt idx="3">
                  <c:v>0.11920529801324503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4-418F-9D82-631FB37B709A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'7.统计'!$BB$51:$BE$51</c:f>
              <c:numCache>
                <c:formatCode>0.00%</c:formatCode>
                <c:ptCount val="4"/>
                <c:pt idx="0">
                  <c:v>0.25740740740740742</c:v>
                </c:pt>
                <c:pt idx="1">
                  <c:v>0.35462962962962963</c:v>
                </c:pt>
                <c:pt idx="2">
                  <c:v>0.24444444444444444</c:v>
                </c:pt>
                <c:pt idx="3">
                  <c:v>0.14351851851851852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4-418F-9D82-631FB37B709A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'7.统计'!$BB$52:$BE$52</c:f>
              <c:numCache>
                <c:formatCode>0.00%</c:formatCode>
                <c:ptCount val="4"/>
                <c:pt idx="0">
                  <c:v>0.23227383863080683</c:v>
                </c:pt>
                <c:pt idx="1">
                  <c:v>0.28117359413202936</c:v>
                </c:pt>
                <c:pt idx="2">
                  <c:v>0.27628361858190709</c:v>
                </c:pt>
                <c:pt idx="3">
                  <c:v>0.21026894865525672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4-418F-9D82-631FB37B709A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'7.统计'!$BB$53:$BE$53</c:f>
              <c:numCache>
                <c:formatCode>0.00%</c:formatCode>
                <c:ptCount val="4"/>
                <c:pt idx="0">
                  <c:v>0.25790139064475348</c:v>
                </c:pt>
                <c:pt idx="1">
                  <c:v>0.26548672566371684</c:v>
                </c:pt>
                <c:pt idx="2">
                  <c:v>0.26295828065739568</c:v>
                </c:pt>
                <c:pt idx="3">
                  <c:v>0.213653603034134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44-418F-9D82-631FB37B709A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'7.统计'!$BB$54:$BE$54</c:f>
              <c:numCache>
                <c:formatCode>0.00%</c:formatCode>
                <c:ptCount val="4"/>
                <c:pt idx="0">
                  <c:v>0.29203539823008851</c:v>
                </c:pt>
                <c:pt idx="1">
                  <c:v>0.33185840707964603</c:v>
                </c:pt>
                <c:pt idx="2">
                  <c:v>0.2831858407079646</c:v>
                </c:pt>
                <c:pt idx="3">
                  <c:v>9.2920353982300891E-2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44-418F-9D82-631FB37B709A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'7.统计'!$BB$55:$BE$55</c:f>
              <c:numCache>
                <c:formatCode>0.00%</c:formatCode>
                <c:ptCount val="4"/>
                <c:pt idx="0">
                  <c:v>0.23966942148760331</c:v>
                </c:pt>
                <c:pt idx="1">
                  <c:v>0.35206611570247937</c:v>
                </c:pt>
                <c:pt idx="2">
                  <c:v>0.28925619834710742</c:v>
                </c:pt>
                <c:pt idx="3">
                  <c:v>0.11900826446280992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44-418F-9D82-631FB37B709A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'7.统计'!$BB$56:$BE$56</c:f>
              <c:numCache>
                <c:formatCode>0.00%</c:formatCode>
                <c:ptCount val="4"/>
                <c:pt idx="0">
                  <c:v>0.24786324786324787</c:v>
                </c:pt>
                <c:pt idx="1">
                  <c:v>0.31111111111111112</c:v>
                </c:pt>
                <c:pt idx="2">
                  <c:v>0.31111111111111112</c:v>
                </c:pt>
                <c:pt idx="3">
                  <c:v>0.12991452991452992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44-418F-9D82-631FB37B709A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'7.统计'!$BB$57:$BE$57</c:f>
              <c:numCache>
                <c:formatCode>0.00%</c:formatCode>
                <c:ptCount val="4"/>
                <c:pt idx="0">
                  <c:v>0.29432213209733488</c:v>
                </c:pt>
                <c:pt idx="1">
                  <c:v>0.29316338354577059</c:v>
                </c:pt>
                <c:pt idx="2">
                  <c:v>0.23754345307068367</c:v>
                </c:pt>
                <c:pt idx="3">
                  <c:v>0.17497103128621089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44-418F-9D82-631FB37B70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'7.统计'!$AP$34:$AU$34</c:f>
              <c:numCache>
                <c:formatCode>0.00%</c:formatCode>
                <c:ptCount val="6"/>
                <c:pt idx="0">
                  <c:v>0.31888544891640869</c:v>
                </c:pt>
                <c:pt idx="1">
                  <c:v>0.39164086687306504</c:v>
                </c:pt>
                <c:pt idx="2">
                  <c:v>0.16253869969040247</c:v>
                </c:pt>
                <c:pt idx="3">
                  <c:v>0.23065015479876161</c:v>
                </c:pt>
                <c:pt idx="4">
                  <c:v>8.5139318885448914E-2</c:v>
                </c:pt>
                <c:pt idx="5">
                  <c:v>4.7987616099071206E-2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6-47C9-9253-AFB436DC0E9A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'7.统计'!$AP$35:$AU$35</c:f>
              <c:numCache>
                <c:formatCode>0.00%</c:formatCode>
                <c:ptCount val="6"/>
                <c:pt idx="0">
                  <c:v>0.14406130268199233</c:v>
                </c:pt>
                <c:pt idx="1">
                  <c:v>0.39540229885057471</c:v>
                </c:pt>
                <c:pt idx="2">
                  <c:v>0.26513409961685824</c:v>
                </c:pt>
                <c:pt idx="3">
                  <c:v>0.45977011494252873</c:v>
                </c:pt>
                <c:pt idx="4">
                  <c:v>0.12183908045977011</c:v>
                </c:pt>
                <c:pt idx="5">
                  <c:v>3.5249042145593872E-2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6-47C9-9253-AFB436DC0E9A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'7.统计'!$AP$36:$AU$36</c:f>
              <c:numCache>
                <c:formatCode>0.00%</c:formatCode>
                <c:ptCount val="6"/>
                <c:pt idx="0">
                  <c:v>0.11532846715328467</c:v>
                </c:pt>
                <c:pt idx="1">
                  <c:v>0.40802919708029195</c:v>
                </c:pt>
                <c:pt idx="2">
                  <c:v>0.24306569343065693</c:v>
                </c:pt>
                <c:pt idx="3">
                  <c:v>0.54160583941605844</c:v>
                </c:pt>
                <c:pt idx="4">
                  <c:v>0.14306569343065692</c:v>
                </c:pt>
                <c:pt idx="5">
                  <c:v>2.7737226277372264E-2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56-47C9-9253-AFB436DC0E9A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'7.统计'!$AP$37:$AU$37</c:f>
              <c:numCache>
                <c:formatCode>0.00%</c:formatCode>
                <c:ptCount val="6"/>
                <c:pt idx="0">
                  <c:v>0.12523809523809523</c:v>
                </c:pt>
                <c:pt idx="1">
                  <c:v>0.39809523809523811</c:v>
                </c:pt>
                <c:pt idx="2">
                  <c:v>0.22380952380952382</c:v>
                </c:pt>
                <c:pt idx="3">
                  <c:v>0.61904761904761907</c:v>
                </c:pt>
                <c:pt idx="4">
                  <c:v>0.16619047619047619</c:v>
                </c:pt>
                <c:pt idx="5">
                  <c:v>3.380952380952381E-2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56-47C9-9253-AFB436DC0E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'7.统计'!$F$61:$I$61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'7.统计'!$F$70:$I$70</c:f>
              <c:numCache>
                <c:formatCode>0.00%</c:formatCode>
                <c:ptCount val="4"/>
                <c:pt idx="0">
                  <c:v>0.34375</c:v>
                </c:pt>
                <c:pt idx="1">
                  <c:v>0.31730769230769229</c:v>
                </c:pt>
                <c:pt idx="2">
                  <c:v>0.24278846153846154</c:v>
                </c:pt>
                <c:pt idx="3">
                  <c:v>9.6153846153846159E-2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9-461D-9B6D-39D42A35E548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'7.统计'!$F$61:$I$61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'7.统计'!$F$71:$I$71</c:f>
              <c:numCache>
                <c:formatCode>0.00%</c:formatCode>
                <c:ptCount val="4"/>
                <c:pt idx="0">
                  <c:v>0.17507002801120447</c:v>
                </c:pt>
                <c:pt idx="1">
                  <c:v>0.52240896358543421</c:v>
                </c:pt>
                <c:pt idx="2">
                  <c:v>0.23949579831932774</c:v>
                </c:pt>
                <c:pt idx="3">
                  <c:v>6.3025210084033612E-2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E9-461D-9B6D-39D42A35E548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'7.统计'!$F$61:$I$61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'7.统计'!$F$72:$I$72</c:f>
              <c:numCache>
                <c:formatCode>0.00%</c:formatCode>
                <c:ptCount val="4"/>
                <c:pt idx="0">
                  <c:v>0.22750642673521851</c:v>
                </c:pt>
                <c:pt idx="1">
                  <c:v>0.49614395886889462</c:v>
                </c:pt>
                <c:pt idx="2">
                  <c:v>0.18251928020565553</c:v>
                </c:pt>
                <c:pt idx="3">
                  <c:v>9.383033419023136E-2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E9-461D-9B6D-39D42A35E548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'7.统计'!$F$61:$I$61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'7.统计'!$F$73:$I$73</c:f>
              <c:numCache>
                <c:formatCode>0.00%</c:formatCode>
                <c:ptCount val="4"/>
                <c:pt idx="0">
                  <c:v>0.44894651539708263</c:v>
                </c:pt>
                <c:pt idx="1">
                  <c:v>0.37925445705024313</c:v>
                </c:pt>
                <c:pt idx="2">
                  <c:v>4.2139384116693678E-2</c:v>
                </c:pt>
                <c:pt idx="3">
                  <c:v>0.12965964343598055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E9-461D-9B6D-39D42A35E548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'7.统计'!$F$61:$I$61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'7.统计'!$F$74:$I$74</c:f>
              <c:numCache>
                <c:formatCode>0.00%</c:formatCode>
                <c:ptCount val="4"/>
                <c:pt idx="0">
                  <c:v>0.18260869565217391</c:v>
                </c:pt>
                <c:pt idx="1">
                  <c:v>0.30434782608695654</c:v>
                </c:pt>
                <c:pt idx="2">
                  <c:v>0.37391304347826088</c:v>
                </c:pt>
                <c:pt idx="3">
                  <c:v>0.1391304347826087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9E9-461D-9B6D-39D42A35E548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'7.统计'!$F$61:$I$61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'7.统计'!$F$75:$I$75</c:f>
              <c:numCache>
                <c:formatCode>0.00%</c:formatCode>
                <c:ptCount val="4"/>
                <c:pt idx="0">
                  <c:v>0.116751269035533</c:v>
                </c:pt>
                <c:pt idx="1">
                  <c:v>0.57360406091370564</c:v>
                </c:pt>
                <c:pt idx="2">
                  <c:v>0.23011844331641285</c:v>
                </c:pt>
                <c:pt idx="3">
                  <c:v>7.952622673434856E-2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9E9-461D-9B6D-39D42A35E548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'7.统计'!$F$61:$I$61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'7.统计'!$F$76:$I$76</c:f>
              <c:numCache>
                <c:formatCode>0.00%</c:formatCode>
                <c:ptCount val="4"/>
                <c:pt idx="0">
                  <c:v>0.16216216216216217</c:v>
                </c:pt>
                <c:pt idx="1">
                  <c:v>0.53378378378378377</c:v>
                </c:pt>
                <c:pt idx="2">
                  <c:v>0.19594594594594594</c:v>
                </c:pt>
                <c:pt idx="3">
                  <c:v>0.10810810810810811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9E9-461D-9B6D-39D42A35E548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'7.统计'!$F$61:$I$61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'7.统计'!$F$77:$I$77</c:f>
              <c:numCache>
                <c:formatCode>0.00%</c:formatCode>
                <c:ptCount val="4"/>
                <c:pt idx="0">
                  <c:v>0.28406466512702078</c:v>
                </c:pt>
                <c:pt idx="1">
                  <c:v>0.44803695150115475</c:v>
                </c:pt>
                <c:pt idx="2">
                  <c:v>7.9676674364896075E-2</c:v>
                </c:pt>
                <c:pt idx="3">
                  <c:v>0.18822170900692842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9E9-461D-9B6D-39D42A35E5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'7.统计'!$J$61:$L$61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'7.统计'!$J$70:$L$70</c:f>
              <c:numCache>
                <c:formatCode>0.00%</c:formatCode>
                <c:ptCount val="3"/>
                <c:pt idx="0">
                  <c:v>0.42307692307692307</c:v>
                </c:pt>
                <c:pt idx="1">
                  <c:v>0.5</c:v>
                </c:pt>
                <c:pt idx="2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B-488B-989A-4CAC250EF8B2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'7.统计'!$J$61:$L$61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'7.统计'!$J$71:$L$71</c:f>
              <c:numCache>
                <c:formatCode>0.00%</c:formatCode>
                <c:ptCount val="3"/>
                <c:pt idx="0">
                  <c:v>0.32212885154061627</c:v>
                </c:pt>
                <c:pt idx="1">
                  <c:v>0.61344537815126055</c:v>
                </c:pt>
                <c:pt idx="2">
                  <c:v>6.4425770308123242E-2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B-488B-989A-4CAC250EF8B2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'7.统计'!$J$61:$L$61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'7.统计'!$J$72:$L$72</c:f>
              <c:numCache>
                <c:formatCode>0.00%</c:formatCode>
                <c:ptCount val="3"/>
                <c:pt idx="0">
                  <c:v>0.42802056555269924</c:v>
                </c:pt>
                <c:pt idx="1">
                  <c:v>0.49357326478149099</c:v>
                </c:pt>
                <c:pt idx="2">
                  <c:v>7.8406169665809766E-2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CB-488B-989A-4CAC250EF8B2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'7.统计'!$J$61:$L$61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'7.统计'!$J$73:$L$73</c:f>
              <c:numCache>
                <c:formatCode>0.00%</c:formatCode>
                <c:ptCount val="3"/>
                <c:pt idx="0">
                  <c:v>0.67504051863857373</c:v>
                </c:pt>
                <c:pt idx="1">
                  <c:v>0.30064829821717992</c:v>
                </c:pt>
                <c:pt idx="2">
                  <c:v>2.4311183144246355E-2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CB-488B-989A-4CAC250EF8B2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'7.统计'!$J$61:$L$61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'7.统计'!$J$74:$L$74</c:f>
              <c:numCache>
                <c:formatCode>0.00%</c:formatCode>
                <c:ptCount val="3"/>
                <c:pt idx="0">
                  <c:v>0.33043478260869563</c:v>
                </c:pt>
                <c:pt idx="1">
                  <c:v>0.5347826086956522</c:v>
                </c:pt>
                <c:pt idx="2">
                  <c:v>0.13478260869565217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CB-488B-989A-4CAC250EF8B2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'7.统计'!$J$61:$L$61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'7.统计'!$J$75:$L$75</c:f>
              <c:numCache>
                <c:formatCode>0.00%</c:formatCode>
                <c:ptCount val="3"/>
                <c:pt idx="0">
                  <c:v>0.33164128595600678</c:v>
                </c:pt>
                <c:pt idx="1">
                  <c:v>0.59729272419627755</c:v>
                </c:pt>
                <c:pt idx="2">
                  <c:v>7.1065989847715741E-2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CB-488B-989A-4CAC250EF8B2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'7.统计'!$J$61:$L$61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'7.统计'!$J$76:$L$76</c:f>
              <c:numCache>
                <c:formatCode>0.00%</c:formatCode>
                <c:ptCount val="3"/>
                <c:pt idx="0">
                  <c:v>0.40709459459459457</c:v>
                </c:pt>
                <c:pt idx="1">
                  <c:v>0.52195945945945943</c:v>
                </c:pt>
                <c:pt idx="2">
                  <c:v>7.0945945945945943E-2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CB-488B-989A-4CAC250EF8B2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'7.统计'!$J$61:$L$61</c:f>
              <c:strCache>
                <c:ptCount val="3"/>
                <c:pt idx="0">
                  <c:v>A.非常认可</c:v>
                </c:pt>
                <c:pt idx="1">
                  <c:v>B.一般认可</c:v>
                </c:pt>
                <c:pt idx="2">
                  <c:v>C.不太认可</c:v>
                </c:pt>
              </c:strCache>
            </c:strRef>
          </c:cat>
          <c:val>
            <c:numRef>
              <c:f>'7.统计'!$J$77:$L$77</c:f>
              <c:numCache>
                <c:formatCode>0.00%</c:formatCode>
                <c:ptCount val="3"/>
                <c:pt idx="0">
                  <c:v>0.62009237875288681</c:v>
                </c:pt>
                <c:pt idx="1">
                  <c:v>0.3464203233256351</c:v>
                </c:pt>
                <c:pt idx="2">
                  <c:v>3.348729792147806E-2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CB-488B-989A-4CAC250EF8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'7.统计'!$M$61:$P$61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'7.统计'!$M$70:$P$70</c:f>
              <c:numCache>
                <c:formatCode>0.00%</c:formatCode>
                <c:ptCount val="4"/>
                <c:pt idx="0">
                  <c:v>0.47115384615384615</c:v>
                </c:pt>
                <c:pt idx="1">
                  <c:v>0.54326923076923073</c:v>
                </c:pt>
                <c:pt idx="2">
                  <c:v>0.17067307692307693</c:v>
                </c:pt>
                <c:pt idx="3">
                  <c:v>9.375E-2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6-4E27-8130-76F29103FAB7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'7.统计'!$M$61:$P$61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'7.统计'!$M$71:$P$71</c:f>
              <c:numCache>
                <c:formatCode>0.00%</c:formatCode>
                <c:ptCount val="4"/>
                <c:pt idx="0">
                  <c:v>0.35854341736694678</c:v>
                </c:pt>
                <c:pt idx="1">
                  <c:v>0.62745098039215685</c:v>
                </c:pt>
                <c:pt idx="2">
                  <c:v>0.40196078431372551</c:v>
                </c:pt>
                <c:pt idx="3">
                  <c:v>0.15126050420168066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6-4E27-8130-76F29103FAB7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'7.统计'!$M$61:$P$61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'7.统计'!$M$72:$P$72</c:f>
              <c:numCache>
                <c:formatCode>0.00%</c:formatCode>
                <c:ptCount val="4"/>
                <c:pt idx="0">
                  <c:v>0.39588688946015427</c:v>
                </c:pt>
                <c:pt idx="1">
                  <c:v>0.73007712082262211</c:v>
                </c:pt>
                <c:pt idx="2">
                  <c:v>0.37532133676092544</c:v>
                </c:pt>
                <c:pt idx="3">
                  <c:v>0.21850899742930591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F6-4E27-8130-76F29103FAB7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'7.统计'!$M$61:$P$61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'7.统计'!$M$73:$P$73</c:f>
              <c:numCache>
                <c:formatCode>0.00%</c:formatCode>
                <c:ptCount val="4"/>
                <c:pt idx="0">
                  <c:v>0.47082658022690438</c:v>
                </c:pt>
                <c:pt idx="1">
                  <c:v>0.81766612641815239</c:v>
                </c:pt>
                <c:pt idx="2">
                  <c:v>0.38492706645056723</c:v>
                </c:pt>
                <c:pt idx="3">
                  <c:v>0.25040518638573744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F6-4E27-8130-76F29103FAB7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'7.统计'!$M$61:$P$61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'7.统计'!$M$74:$P$74</c:f>
              <c:numCache>
                <c:formatCode>0.00%</c:formatCode>
                <c:ptCount val="4"/>
                <c:pt idx="0">
                  <c:v>0.40869565217391307</c:v>
                </c:pt>
                <c:pt idx="1">
                  <c:v>0.59565217391304348</c:v>
                </c:pt>
                <c:pt idx="2">
                  <c:v>0.29565217391304349</c:v>
                </c:pt>
                <c:pt idx="3">
                  <c:v>0.1391304347826087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F6-4E27-8130-76F29103FAB7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'7.统计'!$M$61:$P$61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'7.统计'!$M$75:$P$75</c:f>
              <c:numCache>
                <c:formatCode>0.00%</c:formatCode>
                <c:ptCount val="4"/>
                <c:pt idx="0">
                  <c:v>0.38917089678510997</c:v>
                </c:pt>
                <c:pt idx="1">
                  <c:v>0.75465313028764802</c:v>
                </c:pt>
                <c:pt idx="2">
                  <c:v>0.37563451776649748</c:v>
                </c:pt>
                <c:pt idx="3">
                  <c:v>0.19289340101522842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F6-4E27-8130-76F29103FAB7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'7.统计'!$M$61:$P$61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'7.统计'!$M$76:$P$76</c:f>
              <c:numCache>
                <c:formatCode>0.00%</c:formatCode>
                <c:ptCount val="4"/>
                <c:pt idx="0">
                  <c:v>0.40202702702702703</c:v>
                </c:pt>
                <c:pt idx="1">
                  <c:v>0.76858108108108103</c:v>
                </c:pt>
                <c:pt idx="2">
                  <c:v>0.38513513513513514</c:v>
                </c:pt>
                <c:pt idx="3">
                  <c:v>0.22297297297297297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F6-4E27-8130-76F29103FAB7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'7.统计'!$M$61:$P$61</c:f>
              <c:strCache>
                <c:ptCount val="4"/>
                <c:pt idx="0">
                  <c:v>A.提高投资收益</c:v>
                </c:pt>
                <c:pt idx="1">
                  <c:v>B.分散和降低投资风险</c:v>
                </c:pt>
                <c:pt idx="2">
                  <c:v>C.看好特定资产的未来表现</c:v>
                </c:pt>
                <c:pt idx="3">
                  <c:v>D.害怕错失某些资产的投资机会</c:v>
                </c:pt>
              </c:strCache>
            </c:strRef>
          </c:cat>
          <c:val>
            <c:numRef>
              <c:f>'7.统计'!$M$77:$P$77</c:f>
              <c:numCache>
                <c:formatCode>0.00%</c:formatCode>
                <c:ptCount val="4"/>
                <c:pt idx="0">
                  <c:v>0.48729792147806006</c:v>
                </c:pt>
                <c:pt idx="1">
                  <c:v>0.83256351039260967</c:v>
                </c:pt>
                <c:pt idx="2">
                  <c:v>0.40069284064665128</c:v>
                </c:pt>
                <c:pt idx="3">
                  <c:v>0.26558891454965355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F6-4E27-8130-76F29103FA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'7.统计'!$Q$61:$S$61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'7.统计'!$Q$70:$S$70</c:f>
              <c:numCache>
                <c:formatCode>0.00%</c:formatCode>
                <c:ptCount val="3"/>
                <c:pt idx="0">
                  <c:v>0.53125</c:v>
                </c:pt>
                <c:pt idx="1">
                  <c:v>0.36057692307692307</c:v>
                </c:pt>
                <c:pt idx="2">
                  <c:v>0.10817307692307693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A-4F99-A221-F08E2F498015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'7.统计'!$Q$61:$S$61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'7.统计'!$Q$71:$S$71</c:f>
              <c:numCache>
                <c:formatCode>0.00%</c:formatCode>
                <c:ptCount val="3"/>
                <c:pt idx="0">
                  <c:v>0.44397759103641454</c:v>
                </c:pt>
                <c:pt idx="1">
                  <c:v>0.45378151260504201</c:v>
                </c:pt>
                <c:pt idx="2">
                  <c:v>0.10224089635854341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A-4F99-A221-F08E2F498015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'7.统计'!$Q$61:$S$61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'7.统计'!$Q$72:$S$72</c:f>
              <c:numCache>
                <c:formatCode>0.00%</c:formatCode>
                <c:ptCount val="3"/>
                <c:pt idx="0">
                  <c:v>0.5295629820051414</c:v>
                </c:pt>
                <c:pt idx="1">
                  <c:v>0.35732647814910024</c:v>
                </c:pt>
                <c:pt idx="2">
                  <c:v>0.11311053984575835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FA-4F99-A221-F08E2F498015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'7.统计'!$Q$61:$S$61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'7.统计'!$Q$73:$S$73</c:f>
              <c:numCache>
                <c:formatCode>0.00%</c:formatCode>
                <c:ptCount val="3"/>
                <c:pt idx="0">
                  <c:v>0.68476499189627227</c:v>
                </c:pt>
                <c:pt idx="1">
                  <c:v>0.26175040518638576</c:v>
                </c:pt>
                <c:pt idx="2">
                  <c:v>5.3484602917341979E-2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FA-4F99-A221-F08E2F498015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'7.统计'!$Q$61:$S$61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'7.统计'!$Q$74:$S$74</c:f>
              <c:numCache>
                <c:formatCode>0.00%</c:formatCode>
                <c:ptCount val="3"/>
                <c:pt idx="0">
                  <c:v>0.5</c:v>
                </c:pt>
                <c:pt idx="1">
                  <c:v>0.39130434782608697</c:v>
                </c:pt>
                <c:pt idx="2">
                  <c:v>0.10869565217391304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FA-4F99-A221-F08E2F498015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'7.统计'!$Q$61:$S$61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'7.统计'!$Q$75:$S$75</c:f>
              <c:numCache>
                <c:formatCode>0.00%</c:formatCode>
                <c:ptCount val="3"/>
                <c:pt idx="0">
                  <c:v>0.47715736040609136</c:v>
                </c:pt>
                <c:pt idx="1">
                  <c:v>0.43824027072758037</c:v>
                </c:pt>
                <c:pt idx="2">
                  <c:v>8.4602368866328256E-2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FA-4F99-A221-F08E2F498015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'7.统计'!$Q$61:$S$61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'7.统计'!$Q$76:$S$76</c:f>
              <c:numCache>
                <c:formatCode>0.00%</c:formatCode>
                <c:ptCount val="3"/>
                <c:pt idx="0">
                  <c:v>0.53040540540540537</c:v>
                </c:pt>
                <c:pt idx="1">
                  <c:v>0.3716216216216216</c:v>
                </c:pt>
                <c:pt idx="2">
                  <c:v>9.7972972972972971E-2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FA-4F99-A221-F08E2F498015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'7.统计'!$Q$61:$S$61</c:f>
              <c:strCache>
                <c:ptCount val="3"/>
                <c:pt idx="0">
                  <c:v>A.增加资产类别</c:v>
                </c:pt>
                <c:pt idx="1">
                  <c:v>B.维持现状</c:v>
                </c:pt>
                <c:pt idx="2">
                  <c:v>C.减少资产类别</c:v>
                </c:pt>
              </c:strCache>
            </c:strRef>
          </c:cat>
          <c:val>
            <c:numRef>
              <c:f>'7.统计'!$Q$77:$S$77</c:f>
              <c:numCache>
                <c:formatCode>0.00%</c:formatCode>
                <c:ptCount val="3"/>
                <c:pt idx="0">
                  <c:v>0.65242494226327941</c:v>
                </c:pt>
                <c:pt idx="1">
                  <c:v>0.28060046189376442</c:v>
                </c:pt>
                <c:pt idx="2">
                  <c:v>6.6974595842956119E-2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FA-4F99-A221-F08E2F4980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'7.统计'!$T$61:$V$61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'7.统计'!$T$70:$V$70</c:f>
              <c:numCache>
                <c:formatCode>0.00%</c:formatCode>
                <c:ptCount val="3"/>
                <c:pt idx="0">
                  <c:v>0.45913461538461536</c:v>
                </c:pt>
                <c:pt idx="1">
                  <c:v>0.40625</c:v>
                </c:pt>
                <c:pt idx="2">
                  <c:v>0.13461538461538461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3-4D91-9955-B54890DC76CE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'7.统计'!$T$61:$V$61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'7.统计'!$T$71:$V$71</c:f>
              <c:numCache>
                <c:formatCode>0.00%</c:formatCode>
                <c:ptCount val="3"/>
                <c:pt idx="0">
                  <c:v>0.28151260504201681</c:v>
                </c:pt>
                <c:pt idx="1">
                  <c:v>0.54201680672268904</c:v>
                </c:pt>
                <c:pt idx="2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3-4D91-9955-B54890DC76CE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'7.统计'!$T$61:$V$61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'7.统计'!$T$72:$V$72</c:f>
              <c:numCache>
                <c:formatCode>0.00%</c:formatCode>
                <c:ptCount val="3"/>
                <c:pt idx="0">
                  <c:v>0.30077120822622105</c:v>
                </c:pt>
                <c:pt idx="1">
                  <c:v>0.46015424164524421</c:v>
                </c:pt>
                <c:pt idx="2">
                  <c:v>0.23907455012853471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3-4D91-9955-B54890DC76CE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'7.统计'!$T$61:$V$61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'7.统计'!$T$73:$V$73</c:f>
              <c:numCache>
                <c:formatCode>0.00%</c:formatCode>
                <c:ptCount val="3"/>
                <c:pt idx="0">
                  <c:v>0.39059967585089139</c:v>
                </c:pt>
                <c:pt idx="1">
                  <c:v>0.36142625607779577</c:v>
                </c:pt>
                <c:pt idx="2">
                  <c:v>0.24797406807131281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3-4D91-9955-B54890DC76CE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'7.统计'!$T$61:$V$61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'7.统计'!$T$74:$V$74</c:f>
              <c:numCache>
                <c:formatCode>0.00%</c:formatCode>
                <c:ptCount val="3"/>
                <c:pt idx="0">
                  <c:v>0.4652173913043478</c:v>
                </c:pt>
                <c:pt idx="1">
                  <c:v>0.35652173913043478</c:v>
                </c:pt>
                <c:pt idx="2">
                  <c:v>0.17826086956521739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F3-4D91-9955-B54890DC76CE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'7.统计'!$T$61:$V$61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'7.统计'!$T$75:$V$75</c:f>
              <c:numCache>
                <c:formatCode>0.00%</c:formatCode>
                <c:ptCount val="3"/>
                <c:pt idx="0">
                  <c:v>0.27580372250423013</c:v>
                </c:pt>
                <c:pt idx="1">
                  <c:v>0.51269035532994922</c:v>
                </c:pt>
                <c:pt idx="2">
                  <c:v>0.21150592216582065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F3-4D91-9955-B54890DC76CE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'7.统计'!$T$61:$V$61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'7.统计'!$T$76:$V$76</c:f>
              <c:numCache>
                <c:formatCode>0.00%</c:formatCode>
                <c:ptCount val="3"/>
                <c:pt idx="0">
                  <c:v>0.30067567567567566</c:v>
                </c:pt>
                <c:pt idx="1">
                  <c:v>0.50168918918918914</c:v>
                </c:pt>
                <c:pt idx="2">
                  <c:v>0.19763513513513514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F3-4D91-9955-B54890DC76CE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'7.统计'!$T$61:$V$61</c:f>
              <c:strCache>
                <c:ptCount val="3"/>
                <c:pt idx="0">
                  <c:v>A.自己搭配</c:v>
                </c:pt>
                <c:pt idx="1">
                  <c:v>B.多元配置型FOF产品</c:v>
                </c:pt>
                <c:pt idx="2">
                  <c:v>C.多元配置策略的投顾服务</c:v>
                </c:pt>
              </c:strCache>
            </c:strRef>
          </c:cat>
          <c:val>
            <c:numRef>
              <c:f>'7.统计'!$T$77:$V$77</c:f>
              <c:numCache>
                <c:formatCode>0.00%</c:formatCode>
                <c:ptCount val="3"/>
                <c:pt idx="0">
                  <c:v>0.31408775981524251</c:v>
                </c:pt>
                <c:pt idx="1">
                  <c:v>0.36951501154734412</c:v>
                </c:pt>
                <c:pt idx="2">
                  <c:v>0.31639722863741337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F3-4D91-9955-B54890DC76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'7.统计'!$W$61:$AB$61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'7.统计'!$W$70:$AB$70</c:f>
              <c:numCache>
                <c:formatCode>0.00%</c:formatCode>
                <c:ptCount val="6"/>
                <c:pt idx="0">
                  <c:v>0.41346153846153844</c:v>
                </c:pt>
                <c:pt idx="1">
                  <c:v>0.52163461538461542</c:v>
                </c:pt>
                <c:pt idx="2">
                  <c:v>0.19230769230769232</c:v>
                </c:pt>
                <c:pt idx="3">
                  <c:v>6.25E-2</c:v>
                </c:pt>
                <c:pt idx="4">
                  <c:v>0.125</c:v>
                </c:pt>
                <c:pt idx="5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5-430B-8671-85478170EB23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'7.统计'!$W$61:$AB$61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'7.统计'!$W$71:$AB$71</c:f>
              <c:numCache>
                <c:formatCode>0.00%</c:formatCode>
                <c:ptCount val="6"/>
                <c:pt idx="0">
                  <c:v>0.35994397759103641</c:v>
                </c:pt>
                <c:pt idx="1">
                  <c:v>0.60224089635854339</c:v>
                </c:pt>
                <c:pt idx="2">
                  <c:v>0.44117647058823528</c:v>
                </c:pt>
                <c:pt idx="3">
                  <c:v>0.1484593837535014</c:v>
                </c:pt>
                <c:pt idx="4">
                  <c:v>0.20588235294117646</c:v>
                </c:pt>
                <c:pt idx="5">
                  <c:v>4.2016806722689079E-2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5-430B-8671-85478170EB23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'7.统计'!$W$61:$AB$61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'7.统计'!$W$72:$AB$72</c:f>
              <c:numCache>
                <c:formatCode>0.00%</c:formatCode>
                <c:ptCount val="6"/>
                <c:pt idx="0">
                  <c:v>0.43958868894601544</c:v>
                </c:pt>
                <c:pt idx="1">
                  <c:v>0.60411311053984573</c:v>
                </c:pt>
                <c:pt idx="2">
                  <c:v>0.49871465295629819</c:v>
                </c:pt>
                <c:pt idx="3">
                  <c:v>0.18123393316195371</c:v>
                </c:pt>
                <c:pt idx="4">
                  <c:v>0.25578406169665807</c:v>
                </c:pt>
                <c:pt idx="5">
                  <c:v>3.4704370179948589E-2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5-430B-8671-85478170EB23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'7.统计'!$W$61:$AB$61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'7.统计'!$W$73:$AB$73</c:f>
              <c:numCache>
                <c:formatCode>0.00%</c:formatCode>
                <c:ptCount val="6"/>
                <c:pt idx="0">
                  <c:v>0.6102106969205835</c:v>
                </c:pt>
                <c:pt idx="1">
                  <c:v>0.62074554294975692</c:v>
                </c:pt>
                <c:pt idx="2">
                  <c:v>0.51944894651539708</c:v>
                </c:pt>
                <c:pt idx="3">
                  <c:v>0.18800648298217179</c:v>
                </c:pt>
                <c:pt idx="4">
                  <c:v>0.35980551053484605</c:v>
                </c:pt>
                <c:pt idx="5">
                  <c:v>4.7001620745542948E-2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95-430B-8671-85478170EB23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'7.统计'!$W$61:$AB$61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'7.统计'!$W$74:$AB$74</c:f>
              <c:numCache>
                <c:formatCode>0.00%</c:formatCode>
                <c:ptCount val="6"/>
                <c:pt idx="0">
                  <c:v>0.37826086956521737</c:v>
                </c:pt>
                <c:pt idx="1">
                  <c:v>0.55652173913043479</c:v>
                </c:pt>
                <c:pt idx="2">
                  <c:v>0.26956521739130435</c:v>
                </c:pt>
                <c:pt idx="3">
                  <c:v>0.13043478260869565</c:v>
                </c:pt>
                <c:pt idx="4">
                  <c:v>0.16956521739130434</c:v>
                </c:pt>
                <c:pt idx="5">
                  <c:v>6.0869565217391307E-2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95-430B-8671-85478170EB23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'7.统计'!$W$61:$AB$61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'7.统计'!$W$75:$AB$75</c:f>
              <c:numCache>
                <c:formatCode>0.00%</c:formatCode>
                <c:ptCount val="6"/>
                <c:pt idx="0">
                  <c:v>0.34348561759729274</c:v>
                </c:pt>
                <c:pt idx="1">
                  <c:v>0.67851099830795258</c:v>
                </c:pt>
                <c:pt idx="2">
                  <c:v>0.40778341793570222</c:v>
                </c:pt>
                <c:pt idx="3">
                  <c:v>0.14382402707275804</c:v>
                </c:pt>
                <c:pt idx="4">
                  <c:v>0.26057529610829105</c:v>
                </c:pt>
                <c:pt idx="5">
                  <c:v>3.3840947546531303E-2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95-430B-8671-85478170EB23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'7.统计'!$W$61:$AB$61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'7.统计'!$W$76:$AB$76</c:f>
              <c:numCache>
                <c:formatCode>0.00%</c:formatCode>
                <c:ptCount val="6"/>
                <c:pt idx="0">
                  <c:v>0.4408783783783784</c:v>
                </c:pt>
                <c:pt idx="1">
                  <c:v>0.64020270270270274</c:v>
                </c:pt>
                <c:pt idx="2">
                  <c:v>0.47635135135135137</c:v>
                </c:pt>
                <c:pt idx="3">
                  <c:v>0.14358108108108109</c:v>
                </c:pt>
                <c:pt idx="4">
                  <c:v>0.29560810810810811</c:v>
                </c:pt>
                <c:pt idx="5">
                  <c:v>3.5472972972972971E-2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95-430B-8671-85478170EB23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'7.统计'!$W$61:$AB$61</c:f>
              <c:strCache>
                <c:ptCount val="6"/>
                <c:pt idx="0">
                  <c:v>A.A股基金</c:v>
                </c:pt>
                <c:pt idx="1">
                  <c:v>B.债券基金</c:v>
                </c:pt>
                <c:pt idx="2">
                  <c:v>C.海外市场基金</c:v>
                </c:pt>
                <c:pt idx="3">
                  <c:v>D.商品基金</c:v>
                </c:pt>
                <c:pt idx="4">
                  <c:v>E.多元配置型FOF产品</c:v>
                </c:pt>
                <c:pt idx="5">
                  <c:v>F.其他基金产品</c:v>
                </c:pt>
              </c:strCache>
            </c:strRef>
          </c:cat>
          <c:val>
            <c:numRef>
              <c:f>'7.统计'!$W$77:$AB$77</c:f>
              <c:numCache>
                <c:formatCode>0.00%</c:formatCode>
                <c:ptCount val="6"/>
                <c:pt idx="0">
                  <c:v>0.51847575057736717</c:v>
                </c:pt>
                <c:pt idx="1">
                  <c:v>0.6535796766743649</c:v>
                </c:pt>
                <c:pt idx="2">
                  <c:v>0.51385681293302543</c:v>
                </c:pt>
                <c:pt idx="3">
                  <c:v>0.14665127020785218</c:v>
                </c:pt>
                <c:pt idx="4">
                  <c:v>0.34757505773672054</c:v>
                </c:pt>
                <c:pt idx="5">
                  <c:v>5.5427251732101619E-2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95-430B-8671-85478170EB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'7.统计'!$AC$61:$AE$61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'7.统计'!$AC$70:$AE$70</c:f>
              <c:numCache>
                <c:formatCode>0.00%</c:formatCode>
                <c:ptCount val="3"/>
                <c:pt idx="0">
                  <c:v>0.52403846153846156</c:v>
                </c:pt>
                <c:pt idx="1">
                  <c:v>0.29086538461538464</c:v>
                </c:pt>
                <c:pt idx="2">
                  <c:v>0.18509615384615385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C-4642-8DE0-63D884F57C5A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'7.统计'!$AC$61:$AE$61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'7.统计'!$AC$71:$AE$71</c:f>
              <c:numCache>
                <c:formatCode>0.00%</c:formatCode>
                <c:ptCount val="3"/>
                <c:pt idx="0">
                  <c:v>0.37114845938375352</c:v>
                </c:pt>
                <c:pt idx="1">
                  <c:v>0.52380952380952384</c:v>
                </c:pt>
                <c:pt idx="2">
                  <c:v>0.10364145658263306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BC-4642-8DE0-63D884F57C5A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'7.统计'!$AC$61:$AE$61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'7.统计'!$AC$72:$AE$72</c:f>
              <c:numCache>
                <c:formatCode>0.00%</c:formatCode>
                <c:ptCount val="3"/>
                <c:pt idx="0">
                  <c:v>0.37403598971722363</c:v>
                </c:pt>
                <c:pt idx="1">
                  <c:v>0.52056555269922877</c:v>
                </c:pt>
                <c:pt idx="2">
                  <c:v>0.10539845758354756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BC-4642-8DE0-63D884F57C5A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'7.统计'!$AC$61:$AE$61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'7.统计'!$AC$73:$AE$73</c:f>
              <c:numCache>
                <c:formatCode>0.00%</c:formatCode>
                <c:ptCount val="3"/>
                <c:pt idx="0">
                  <c:v>0.54943273905996759</c:v>
                </c:pt>
                <c:pt idx="1">
                  <c:v>0.37277147487844409</c:v>
                </c:pt>
                <c:pt idx="2">
                  <c:v>7.7795786061588337E-2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BC-4642-8DE0-63D884F57C5A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'7.统计'!$AC$61:$AE$61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'7.统计'!$AC$74:$AE$74</c:f>
              <c:numCache>
                <c:formatCode>0.00%</c:formatCode>
                <c:ptCount val="3"/>
                <c:pt idx="0">
                  <c:v>0.30434782608695654</c:v>
                </c:pt>
                <c:pt idx="1">
                  <c:v>0.45652173913043476</c:v>
                </c:pt>
                <c:pt idx="2">
                  <c:v>0.2391304347826087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BC-4642-8DE0-63D884F57C5A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'7.统计'!$AC$61:$AE$61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'7.统计'!$AC$75:$AE$75</c:f>
              <c:numCache>
                <c:formatCode>0.00%</c:formatCode>
                <c:ptCount val="3"/>
                <c:pt idx="0">
                  <c:v>0.32487309644670048</c:v>
                </c:pt>
                <c:pt idx="1">
                  <c:v>0.57360406091370564</c:v>
                </c:pt>
                <c:pt idx="2">
                  <c:v>9.9830795262267347E-2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BC-4642-8DE0-63D884F57C5A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'7.统计'!$AC$61:$AE$61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'7.统计'!$AC$76:$AE$76</c:f>
              <c:numCache>
                <c:formatCode>0.00%</c:formatCode>
                <c:ptCount val="3"/>
                <c:pt idx="0">
                  <c:v>0.32770270270270269</c:v>
                </c:pt>
                <c:pt idx="1">
                  <c:v>0.55067567567567566</c:v>
                </c:pt>
                <c:pt idx="2">
                  <c:v>0.12162162162162163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BC-4642-8DE0-63D884F57C5A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'7.统计'!$AC$61:$AE$61</c:f>
              <c:strCache>
                <c:ptCount val="3"/>
                <c:pt idx="0">
                  <c:v>A.统计，且有清晰的投资计划</c:v>
                </c:pt>
                <c:pt idx="1">
                  <c:v>B.统计，但没有清晰的投资计划</c:v>
                </c:pt>
                <c:pt idx="2">
                  <c:v>C.不统计</c:v>
                </c:pt>
              </c:strCache>
            </c:strRef>
          </c:cat>
          <c:val>
            <c:numRef>
              <c:f>'7.统计'!$AC$77:$AE$77</c:f>
              <c:numCache>
                <c:formatCode>0.00%</c:formatCode>
                <c:ptCount val="3"/>
                <c:pt idx="0">
                  <c:v>0.45496535796766746</c:v>
                </c:pt>
                <c:pt idx="1">
                  <c:v>0.45842956120092376</c:v>
                </c:pt>
                <c:pt idx="2">
                  <c:v>8.6605080831408776E-2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BC-4642-8DE0-63D884F57C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'7.统计'!$AF$61:$AI$61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'7.统计'!$AF$70:$AI$70</c:f>
              <c:numCache>
                <c:formatCode>0.00%</c:formatCode>
                <c:ptCount val="4"/>
                <c:pt idx="0">
                  <c:v>0.45913461538461536</c:v>
                </c:pt>
                <c:pt idx="1">
                  <c:v>0.40865384615384615</c:v>
                </c:pt>
                <c:pt idx="2">
                  <c:v>8.8942307692307696E-2</c:v>
                </c:pt>
                <c:pt idx="3">
                  <c:v>1.9230769230769232E-2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B-4249-8503-3DC673CFF66F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'7.统计'!$AF$61:$AI$61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'7.统计'!$AF$71:$AI$71</c:f>
              <c:numCache>
                <c:formatCode>0.00%</c:formatCode>
                <c:ptCount val="4"/>
                <c:pt idx="0">
                  <c:v>0.18487394957983194</c:v>
                </c:pt>
                <c:pt idx="1">
                  <c:v>0.43137254901960786</c:v>
                </c:pt>
                <c:pt idx="2">
                  <c:v>0.2857142857142857</c:v>
                </c:pt>
                <c:pt idx="3">
                  <c:v>7.9831932773109238E-2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B-4249-8503-3DC673CFF66F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'7.统计'!$AF$61:$AI$61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'7.统计'!$AF$72:$AI$72</c:f>
              <c:numCache>
                <c:formatCode>0.00%</c:formatCode>
                <c:ptCount val="4"/>
                <c:pt idx="0">
                  <c:v>0.12210796915167095</c:v>
                </c:pt>
                <c:pt idx="1">
                  <c:v>0.36375321336760924</c:v>
                </c:pt>
                <c:pt idx="2">
                  <c:v>0.34061696658097684</c:v>
                </c:pt>
                <c:pt idx="3">
                  <c:v>0.15167095115681234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B-4249-8503-3DC673CFF66F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'7.统计'!$AF$61:$AI$61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'7.统计'!$AF$73:$AI$73</c:f>
              <c:numCache>
                <c:formatCode>0.00%</c:formatCode>
                <c:ptCount val="4"/>
                <c:pt idx="0">
                  <c:v>0.15802269043760131</c:v>
                </c:pt>
                <c:pt idx="1">
                  <c:v>0.36142625607779577</c:v>
                </c:pt>
                <c:pt idx="2">
                  <c:v>0.24554294975688817</c:v>
                </c:pt>
                <c:pt idx="3">
                  <c:v>0.1507293354943274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B-4249-8503-3DC673CFF66F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'7.统计'!$AF$61:$AI$61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'7.统计'!$AF$74:$AI$74</c:f>
              <c:numCache>
                <c:formatCode>0.00%</c:formatCode>
                <c:ptCount val="4"/>
                <c:pt idx="0">
                  <c:v>0.42608695652173911</c:v>
                </c:pt>
                <c:pt idx="1">
                  <c:v>0.37826086956521737</c:v>
                </c:pt>
                <c:pt idx="2">
                  <c:v>0.14347826086956522</c:v>
                </c:pt>
                <c:pt idx="3">
                  <c:v>3.9130434782608699E-2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B-4249-8503-3DC673CFF66F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'7.统计'!$AF$61:$AI$61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'7.统计'!$AF$75:$AI$75</c:f>
              <c:numCache>
                <c:formatCode>0.00%</c:formatCode>
                <c:ptCount val="4"/>
                <c:pt idx="0">
                  <c:v>0.20304568527918782</c:v>
                </c:pt>
                <c:pt idx="1">
                  <c:v>0.4653130287648054</c:v>
                </c:pt>
                <c:pt idx="2">
                  <c:v>0.25549915397631134</c:v>
                </c:pt>
                <c:pt idx="3">
                  <c:v>6.2605752961082908E-2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B-4249-8503-3DC673CFF66F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'7.统计'!$AF$61:$AI$61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'7.统计'!$AF$76:$AI$76</c:f>
              <c:numCache>
                <c:formatCode>0.00%</c:formatCode>
                <c:ptCount val="4"/>
                <c:pt idx="0">
                  <c:v>0.18074324324324326</c:v>
                </c:pt>
                <c:pt idx="1">
                  <c:v>0.36148648648648651</c:v>
                </c:pt>
                <c:pt idx="2">
                  <c:v>0.31756756756756754</c:v>
                </c:pt>
                <c:pt idx="3">
                  <c:v>0.11824324324324324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B-4249-8503-3DC673CFF66F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'7.统计'!$AF$61:$AI$61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'7.统计'!$AF$77:$AI$77</c:f>
              <c:numCache>
                <c:formatCode>0.00%</c:formatCode>
                <c:ptCount val="4"/>
                <c:pt idx="0">
                  <c:v>0.18475750577367206</c:v>
                </c:pt>
                <c:pt idx="1">
                  <c:v>0.37528868360277134</c:v>
                </c:pt>
                <c:pt idx="2">
                  <c:v>0.27829099307159355</c:v>
                </c:pt>
                <c:pt idx="3">
                  <c:v>9.5842956120092374E-2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4B-4249-8503-3DC673CFF6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'7.统计'!$AJ$61:$AO$61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'7.统计'!$AJ$70:$AO$70</c:f>
              <c:numCache>
                <c:formatCode>0.00%</c:formatCode>
                <c:ptCount val="6"/>
                <c:pt idx="0">
                  <c:v>0.50961538461538458</c:v>
                </c:pt>
                <c:pt idx="1">
                  <c:v>0.14663461538461539</c:v>
                </c:pt>
                <c:pt idx="2">
                  <c:v>8.6538461538461536E-2</c:v>
                </c:pt>
                <c:pt idx="3">
                  <c:v>0.19711538461538461</c:v>
                </c:pt>
                <c:pt idx="4">
                  <c:v>0.17307692307692307</c:v>
                </c:pt>
                <c:pt idx="5">
                  <c:v>0.10096153846153846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8-4B56-BA29-141FE2FFF4E8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'7.统计'!$AJ$61:$AO$61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'7.统计'!$AJ$71:$AO$71</c:f>
              <c:numCache>
                <c:formatCode>0.00%</c:formatCode>
                <c:ptCount val="6"/>
                <c:pt idx="0">
                  <c:v>0.50280112044817926</c:v>
                </c:pt>
                <c:pt idx="1">
                  <c:v>0.26750700280112044</c:v>
                </c:pt>
                <c:pt idx="2">
                  <c:v>0.26330532212885155</c:v>
                </c:pt>
                <c:pt idx="3">
                  <c:v>0.27731092436974791</c:v>
                </c:pt>
                <c:pt idx="4">
                  <c:v>5.6022408963585436E-2</c:v>
                </c:pt>
                <c:pt idx="5">
                  <c:v>5.182072829131653E-2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8-4B56-BA29-141FE2FFF4E8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'7.统计'!$AJ$61:$AO$61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'7.统计'!$AJ$72:$AO$72</c:f>
              <c:numCache>
                <c:formatCode>0.00%</c:formatCode>
                <c:ptCount val="6"/>
                <c:pt idx="0">
                  <c:v>0.6478149100257069</c:v>
                </c:pt>
                <c:pt idx="1">
                  <c:v>0.25578406169665807</c:v>
                </c:pt>
                <c:pt idx="2">
                  <c:v>0.17994858611825193</c:v>
                </c:pt>
                <c:pt idx="3">
                  <c:v>0.27763496143958871</c:v>
                </c:pt>
                <c:pt idx="4">
                  <c:v>8.3547557840616973E-2</c:v>
                </c:pt>
                <c:pt idx="5">
                  <c:v>3.9845758354755782E-2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D8-4B56-BA29-141FE2FFF4E8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'7.统计'!$AJ$61:$AO$61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'7.统计'!$AJ$73:$AO$73</c:f>
              <c:numCache>
                <c:formatCode>0.00%</c:formatCode>
                <c:ptCount val="6"/>
                <c:pt idx="0">
                  <c:v>0.80145867098865475</c:v>
                </c:pt>
                <c:pt idx="1">
                  <c:v>0.21231766612641814</c:v>
                </c:pt>
                <c:pt idx="2">
                  <c:v>0.13371150729335493</c:v>
                </c:pt>
                <c:pt idx="3">
                  <c:v>0.35008103727714751</c:v>
                </c:pt>
                <c:pt idx="4">
                  <c:v>5.1053484602917344E-2</c:v>
                </c:pt>
                <c:pt idx="5">
                  <c:v>6.3209076175040513E-2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D8-4B56-BA29-141FE2FFF4E8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'7.统计'!$AJ$61:$AO$61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'7.统计'!$AJ$74:$AO$74</c:f>
              <c:numCache>
                <c:formatCode>0.00%</c:formatCode>
                <c:ptCount val="6"/>
                <c:pt idx="0">
                  <c:v>0.61304347826086958</c:v>
                </c:pt>
                <c:pt idx="1">
                  <c:v>0.15217391304347827</c:v>
                </c:pt>
                <c:pt idx="2">
                  <c:v>0.11739130434782609</c:v>
                </c:pt>
                <c:pt idx="3">
                  <c:v>0.20869565217391303</c:v>
                </c:pt>
                <c:pt idx="4">
                  <c:v>3.9130434782608699E-2</c:v>
                </c:pt>
                <c:pt idx="5">
                  <c:v>0.14782608695652175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D8-4B56-BA29-141FE2FFF4E8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'7.统计'!$AJ$61:$AO$61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'7.统计'!$AJ$75:$AO$75</c:f>
              <c:numCache>
                <c:formatCode>0.00%</c:formatCode>
                <c:ptCount val="6"/>
                <c:pt idx="0">
                  <c:v>0.62436548223350252</c:v>
                </c:pt>
                <c:pt idx="1">
                  <c:v>0.24873096446700507</c:v>
                </c:pt>
                <c:pt idx="2">
                  <c:v>0.18104906937394247</c:v>
                </c:pt>
                <c:pt idx="3">
                  <c:v>0.30456852791878175</c:v>
                </c:pt>
                <c:pt idx="4">
                  <c:v>4.7377326565143825E-2</c:v>
                </c:pt>
                <c:pt idx="5">
                  <c:v>7.2758037225042302E-2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D8-4B56-BA29-141FE2FFF4E8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'7.统计'!$AJ$61:$AO$61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'7.统计'!$AJ$76:$AO$76</c:f>
              <c:numCache>
                <c:formatCode>0.00%</c:formatCode>
                <c:ptCount val="6"/>
                <c:pt idx="0">
                  <c:v>0.6875</c:v>
                </c:pt>
                <c:pt idx="1">
                  <c:v>0.23310810810810811</c:v>
                </c:pt>
                <c:pt idx="2">
                  <c:v>0.15878378378378377</c:v>
                </c:pt>
                <c:pt idx="3">
                  <c:v>0.3091216216216216</c:v>
                </c:pt>
                <c:pt idx="4">
                  <c:v>4.8986486486486486E-2</c:v>
                </c:pt>
                <c:pt idx="5">
                  <c:v>5.5743243243243243E-2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D8-4B56-BA29-141FE2FFF4E8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'7.统计'!$AJ$61:$AO$61</c:f>
              <c:strCache>
                <c:ptCount val="6"/>
                <c:pt idx="0">
                  <c:v>A.QDII基金</c:v>
                </c:pt>
                <c:pt idx="1">
                  <c:v>B.外汇存款或理财</c:v>
                </c:pt>
                <c:pt idx="2">
                  <c:v>C.海外证券账户</c:v>
                </c:pt>
                <c:pt idx="3">
                  <c:v>D.FOF产品</c:v>
                </c:pt>
                <c:pt idx="4">
                  <c:v>E.海外保险</c:v>
                </c:pt>
                <c:pt idx="5">
                  <c:v>F.其他海外投资产品</c:v>
                </c:pt>
              </c:strCache>
            </c:strRef>
          </c:cat>
          <c:val>
            <c:numRef>
              <c:f>'7.统计'!$AJ$77:$AO$77</c:f>
              <c:numCache>
                <c:formatCode>0.00%</c:formatCode>
                <c:ptCount val="6"/>
                <c:pt idx="0">
                  <c:v>0.74711316397228633</c:v>
                </c:pt>
                <c:pt idx="1">
                  <c:v>0.24480369515011546</c:v>
                </c:pt>
                <c:pt idx="2">
                  <c:v>9.6997690531177835E-2</c:v>
                </c:pt>
                <c:pt idx="3">
                  <c:v>0.30369515011547343</c:v>
                </c:pt>
                <c:pt idx="4">
                  <c:v>5.4272517321016164E-2</c:v>
                </c:pt>
                <c:pt idx="5">
                  <c:v>7.0438799076212477E-2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D8-4B56-BA29-141FE2FFF4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'7.统计'!$AP$61:$AU$61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'7.统计'!$AP$70:$AU$70</c:f>
              <c:numCache>
                <c:formatCode>0.00%</c:formatCode>
                <c:ptCount val="6"/>
                <c:pt idx="0">
                  <c:v>0.31490384615384615</c:v>
                </c:pt>
                <c:pt idx="1">
                  <c:v>0.42307692307692307</c:v>
                </c:pt>
                <c:pt idx="2">
                  <c:v>0.15144230769230768</c:v>
                </c:pt>
                <c:pt idx="3">
                  <c:v>0.20673076923076922</c:v>
                </c:pt>
                <c:pt idx="4">
                  <c:v>7.4519230769230768E-2</c:v>
                </c:pt>
                <c:pt idx="5">
                  <c:v>4.807692307692308E-2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4-420A-AACC-D5A4DCD78BFE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'7.统计'!$AP$61:$AU$61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'7.统计'!$AP$71:$AU$71</c:f>
              <c:numCache>
                <c:formatCode>0.00%</c:formatCode>
                <c:ptCount val="6"/>
                <c:pt idx="0">
                  <c:v>0.14565826330532214</c:v>
                </c:pt>
                <c:pt idx="1">
                  <c:v>0.3949579831932773</c:v>
                </c:pt>
                <c:pt idx="2">
                  <c:v>0.27731092436974791</c:v>
                </c:pt>
                <c:pt idx="3">
                  <c:v>0.43977591036414565</c:v>
                </c:pt>
                <c:pt idx="4">
                  <c:v>0.10784313725490197</c:v>
                </c:pt>
                <c:pt idx="5">
                  <c:v>3.2212885154061621E-2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4-420A-AACC-D5A4DCD78BFE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'7.统计'!$AP$61:$AU$61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'7.统计'!$AP$72:$AU$72</c:f>
              <c:numCache>
                <c:formatCode>0.00%</c:formatCode>
                <c:ptCount val="6"/>
                <c:pt idx="0">
                  <c:v>0.11568123393316196</c:v>
                </c:pt>
                <c:pt idx="1">
                  <c:v>0.40874035989717222</c:v>
                </c:pt>
                <c:pt idx="2">
                  <c:v>0.2326478149100257</c:v>
                </c:pt>
                <c:pt idx="3">
                  <c:v>0.54113110539845755</c:v>
                </c:pt>
                <c:pt idx="4">
                  <c:v>0.13753213367609254</c:v>
                </c:pt>
                <c:pt idx="5">
                  <c:v>3.3419023136246784E-2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C4-420A-AACC-D5A4DCD78BFE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'7.统计'!$AP$61:$AU$61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'7.统计'!$AP$73:$AU$73</c:f>
              <c:numCache>
                <c:formatCode>0.00%</c:formatCode>
                <c:ptCount val="6"/>
                <c:pt idx="0">
                  <c:v>0.1280388978930308</c:v>
                </c:pt>
                <c:pt idx="1">
                  <c:v>0.39222042139384117</c:v>
                </c:pt>
                <c:pt idx="2">
                  <c:v>0.2179902755267423</c:v>
                </c:pt>
                <c:pt idx="3">
                  <c:v>0.64181523500810378</c:v>
                </c:pt>
                <c:pt idx="4">
                  <c:v>0.18395461912479741</c:v>
                </c:pt>
                <c:pt idx="5">
                  <c:v>2.9983792544570502E-2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C4-420A-AACC-D5A4DCD78BFE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'7.统计'!$AP$61:$AU$61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'7.统计'!$AP$74:$AU$74</c:f>
              <c:numCache>
                <c:formatCode>0.00%</c:formatCode>
                <c:ptCount val="6"/>
                <c:pt idx="0">
                  <c:v>0.32608695652173914</c:v>
                </c:pt>
                <c:pt idx="1">
                  <c:v>0.33478260869565218</c:v>
                </c:pt>
                <c:pt idx="2">
                  <c:v>0.18260869565217391</c:v>
                </c:pt>
                <c:pt idx="3">
                  <c:v>0.27391304347826084</c:v>
                </c:pt>
                <c:pt idx="4">
                  <c:v>0.10434782608695652</c:v>
                </c:pt>
                <c:pt idx="5">
                  <c:v>4.7826086956521741E-2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C4-420A-AACC-D5A4DCD78BFE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'7.统计'!$AP$61:$AU$61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'7.统计'!$AP$75:$AU$75</c:f>
              <c:numCache>
                <c:formatCode>0.00%</c:formatCode>
                <c:ptCount val="6"/>
                <c:pt idx="0">
                  <c:v>0.14213197969543148</c:v>
                </c:pt>
                <c:pt idx="1">
                  <c:v>0.39593908629441626</c:v>
                </c:pt>
                <c:pt idx="2">
                  <c:v>0.25042301184433163</c:v>
                </c:pt>
                <c:pt idx="3">
                  <c:v>0.48392554991539766</c:v>
                </c:pt>
                <c:pt idx="4">
                  <c:v>0.13874788494077833</c:v>
                </c:pt>
                <c:pt idx="5">
                  <c:v>3.8917089678510999E-2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C4-420A-AACC-D5A4DCD78BFE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'7.统计'!$AP$61:$AU$61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'7.统计'!$AP$76:$AU$76</c:f>
              <c:numCache>
                <c:formatCode>0.00%</c:formatCode>
                <c:ptCount val="6"/>
                <c:pt idx="0">
                  <c:v>0.11486486486486487</c:v>
                </c:pt>
                <c:pt idx="1">
                  <c:v>0.40709459459459457</c:v>
                </c:pt>
                <c:pt idx="2">
                  <c:v>0.25675675675675674</c:v>
                </c:pt>
                <c:pt idx="3">
                  <c:v>0.54222972972972971</c:v>
                </c:pt>
                <c:pt idx="4">
                  <c:v>0.15033783783783783</c:v>
                </c:pt>
                <c:pt idx="5">
                  <c:v>2.0270270270270271E-2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C4-420A-AACC-D5A4DCD78BFE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'7.统计'!$AP$61:$AU$61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'7.统计'!$AP$77:$AU$77</c:f>
              <c:numCache>
                <c:formatCode>0.00%</c:formatCode>
                <c:ptCount val="6"/>
                <c:pt idx="0">
                  <c:v>0.12124711316397228</c:v>
                </c:pt>
                <c:pt idx="1">
                  <c:v>0.40646651270207851</c:v>
                </c:pt>
                <c:pt idx="2">
                  <c:v>0.23210161662817552</c:v>
                </c:pt>
                <c:pt idx="3">
                  <c:v>0.58660508083140872</c:v>
                </c:pt>
                <c:pt idx="4">
                  <c:v>0.14087759815242495</c:v>
                </c:pt>
                <c:pt idx="5">
                  <c:v>3.9260969976905313E-2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C4-420A-AACC-D5A4DCD78B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'7.统计'!$AV$61:$BA$61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'7.统计'!$AV$70:$BA$70</c:f>
              <c:numCache>
                <c:formatCode>0.00%</c:formatCode>
                <c:ptCount val="6"/>
                <c:pt idx="0">
                  <c:v>0.47115384615384615</c:v>
                </c:pt>
                <c:pt idx="1">
                  <c:v>0.375</c:v>
                </c:pt>
                <c:pt idx="2">
                  <c:v>0.19230769230769232</c:v>
                </c:pt>
                <c:pt idx="3">
                  <c:v>0.18028846153846154</c:v>
                </c:pt>
                <c:pt idx="4">
                  <c:v>6.4903846153846159E-2</c:v>
                </c:pt>
                <c:pt idx="5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6-46C7-A19C-3ADEDCFC9CCC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'7.统计'!$AV$61:$BA$61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'7.统计'!$AV$71:$BA$71</c:f>
              <c:numCache>
                <c:formatCode>0.00%</c:formatCode>
                <c:ptCount val="6"/>
                <c:pt idx="0">
                  <c:v>0.33053221288515405</c:v>
                </c:pt>
                <c:pt idx="1">
                  <c:v>0.37815126050420167</c:v>
                </c:pt>
                <c:pt idx="2">
                  <c:v>0.37815126050420167</c:v>
                </c:pt>
                <c:pt idx="3">
                  <c:v>0.28711484593837533</c:v>
                </c:pt>
                <c:pt idx="4">
                  <c:v>0.12044817927170869</c:v>
                </c:pt>
                <c:pt idx="5">
                  <c:v>5.6022408963585436E-2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6-46C7-A19C-3ADEDCFC9CCC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'7.统计'!$AV$61:$BA$61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'7.统计'!$AV$72:$BA$72</c:f>
              <c:numCache>
                <c:formatCode>0.00%</c:formatCode>
                <c:ptCount val="6"/>
                <c:pt idx="0">
                  <c:v>0.34447300771208228</c:v>
                </c:pt>
                <c:pt idx="1">
                  <c:v>0.31362467866323906</c:v>
                </c:pt>
                <c:pt idx="2">
                  <c:v>0.46015424164524421</c:v>
                </c:pt>
                <c:pt idx="3">
                  <c:v>0.37275064267352187</c:v>
                </c:pt>
                <c:pt idx="4">
                  <c:v>0.16195372750642673</c:v>
                </c:pt>
                <c:pt idx="5">
                  <c:v>5.6555269922879174E-2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06-46C7-A19C-3ADEDCFC9CCC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'7.统计'!$AV$61:$BA$61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'7.统计'!$AV$73:$BA$73</c:f>
              <c:numCache>
                <c:formatCode>0.00%</c:formatCode>
                <c:ptCount val="6"/>
                <c:pt idx="0">
                  <c:v>0.45299837925445707</c:v>
                </c:pt>
                <c:pt idx="1">
                  <c:v>0.27552674230145868</c:v>
                </c:pt>
                <c:pt idx="2">
                  <c:v>0.44975688816855752</c:v>
                </c:pt>
                <c:pt idx="3">
                  <c:v>0.40923824959481364</c:v>
                </c:pt>
                <c:pt idx="4">
                  <c:v>0.17423014586709887</c:v>
                </c:pt>
                <c:pt idx="5">
                  <c:v>6.40194489465154E-2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06-46C7-A19C-3ADEDCFC9CCC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'7.统计'!$AV$61:$BA$61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'7.统计'!$AV$74:$BA$74</c:f>
              <c:numCache>
                <c:formatCode>0.00%</c:formatCode>
                <c:ptCount val="6"/>
                <c:pt idx="0">
                  <c:v>0.39130434782608697</c:v>
                </c:pt>
                <c:pt idx="1">
                  <c:v>0.26956521739130435</c:v>
                </c:pt>
                <c:pt idx="2">
                  <c:v>0.34347826086956523</c:v>
                </c:pt>
                <c:pt idx="3">
                  <c:v>0.25217391304347825</c:v>
                </c:pt>
                <c:pt idx="4">
                  <c:v>0.12173913043478261</c:v>
                </c:pt>
                <c:pt idx="5">
                  <c:v>9.5652173913043481E-2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06-46C7-A19C-3ADEDCFC9CCC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'7.统计'!$AV$61:$BA$61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'7.统计'!$AV$75:$BA$75</c:f>
              <c:numCache>
                <c:formatCode>0.00%</c:formatCode>
                <c:ptCount val="6"/>
                <c:pt idx="0">
                  <c:v>0.3604060913705584</c:v>
                </c:pt>
                <c:pt idx="1">
                  <c:v>0.36717428087986465</c:v>
                </c:pt>
                <c:pt idx="2">
                  <c:v>0.43485617597292725</c:v>
                </c:pt>
                <c:pt idx="3">
                  <c:v>0.3350253807106599</c:v>
                </c:pt>
                <c:pt idx="4">
                  <c:v>0.12013536379018612</c:v>
                </c:pt>
                <c:pt idx="5">
                  <c:v>5.9221658206429779E-2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06-46C7-A19C-3ADEDCFC9CCC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'7.统计'!$AV$61:$BA$61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'7.统计'!$AV$76:$BA$76</c:f>
              <c:numCache>
                <c:formatCode>0.00%</c:formatCode>
                <c:ptCount val="6"/>
                <c:pt idx="0">
                  <c:v>0.34459459459459457</c:v>
                </c:pt>
                <c:pt idx="1">
                  <c:v>0.33445945945945948</c:v>
                </c:pt>
                <c:pt idx="2">
                  <c:v>0.47972972972972971</c:v>
                </c:pt>
                <c:pt idx="3">
                  <c:v>0.35304054054054052</c:v>
                </c:pt>
                <c:pt idx="4">
                  <c:v>0.14695945945945946</c:v>
                </c:pt>
                <c:pt idx="5">
                  <c:v>6.0810810810810814E-2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06-46C7-A19C-3ADEDCFC9CCC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'7.统计'!$AV$61:$BA$61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'7.统计'!$AV$77:$BA$77</c:f>
              <c:numCache>
                <c:formatCode>0.00%</c:formatCode>
                <c:ptCount val="6"/>
                <c:pt idx="0">
                  <c:v>0.40415704387990764</c:v>
                </c:pt>
                <c:pt idx="1">
                  <c:v>0.28290993071593534</c:v>
                </c:pt>
                <c:pt idx="2">
                  <c:v>0.43879907621247111</c:v>
                </c:pt>
                <c:pt idx="3">
                  <c:v>0.38337182448036949</c:v>
                </c:pt>
                <c:pt idx="4">
                  <c:v>0.15242494226327943</c:v>
                </c:pt>
                <c:pt idx="5">
                  <c:v>0.10739030023094688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06-46C7-A19C-3ADEDCFC9C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'7.统计'!$BB$61:$BE$61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'7.统计'!$BB$70:$BE$70</c:f>
              <c:numCache>
                <c:formatCode>0.00%</c:formatCode>
                <c:ptCount val="4"/>
                <c:pt idx="0">
                  <c:v>0.56009615384615385</c:v>
                </c:pt>
                <c:pt idx="1">
                  <c:v>0.34375</c:v>
                </c:pt>
                <c:pt idx="2">
                  <c:v>6.7307692307692304E-2</c:v>
                </c:pt>
                <c:pt idx="3">
                  <c:v>2.8846153846153848E-2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0-4B8E-8A57-B1258EF6F0C4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'7.统计'!$BB$61:$BE$61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'7.统计'!$BB$71:$BE$71</c:f>
              <c:numCache>
                <c:formatCode>0.00%</c:formatCode>
                <c:ptCount val="4"/>
                <c:pt idx="0">
                  <c:v>0.26190476190476192</c:v>
                </c:pt>
                <c:pt idx="1">
                  <c:v>0.42016806722689076</c:v>
                </c:pt>
                <c:pt idx="2">
                  <c:v>0.23669467787114845</c:v>
                </c:pt>
                <c:pt idx="3">
                  <c:v>8.1232492997198882E-2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0-4B8E-8A57-B1258EF6F0C4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'7.统计'!$BB$61:$BE$61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'7.统计'!$BB$72:$BE$72</c:f>
              <c:numCache>
                <c:formatCode>0.00%</c:formatCode>
                <c:ptCount val="4"/>
                <c:pt idx="0">
                  <c:v>0.19280205655526991</c:v>
                </c:pt>
                <c:pt idx="1">
                  <c:v>0.33676092544987146</c:v>
                </c:pt>
                <c:pt idx="2">
                  <c:v>0.31748071979434445</c:v>
                </c:pt>
                <c:pt idx="3">
                  <c:v>0.15295629820051415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0-4B8E-8A57-B1258EF6F0C4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'7.统计'!$BB$61:$BE$61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'7.统计'!$BB$73:$BE$73</c:f>
              <c:numCache>
                <c:formatCode>0.00%</c:formatCode>
                <c:ptCount val="4"/>
                <c:pt idx="0">
                  <c:v>0.20907617504051865</c:v>
                </c:pt>
                <c:pt idx="1">
                  <c:v>0.22204213938411668</c:v>
                </c:pt>
                <c:pt idx="2">
                  <c:v>0.27633711507293357</c:v>
                </c:pt>
                <c:pt idx="3">
                  <c:v>0.2925445705024311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E0-4B8E-8A57-B1258EF6F0C4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'7.统计'!$BB$61:$BE$61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'7.统计'!$BB$74:$BE$74</c:f>
              <c:numCache>
                <c:formatCode>0.00%</c:formatCode>
                <c:ptCount val="4"/>
                <c:pt idx="0">
                  <c:v>0.52608695652173909</c:v>
                </c:pt>
                <c:pt idx="1">
                  <c:v>0.3</c:v>
                </c:pt>
                <c:pt idx="2">
                  <c:v>0.11739130434782609</c:v>
                </c:pt>
                <c:pt idx="3">
                  <c:v>5.6521739130434782E-2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E0-4B8E-8A57-B1258EF6F0C4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'7.统计'!$BB$61:$BE$61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'7.统计'!$BB$75:$BE$75</c:f>
              <c:numCache>
                <c:formatCode>0.00%</c:formatCode>
                <c:ptCount val="4"/>
                <c:pt idx="0">
                  <c:v>0.27749576988155666</c:v>
                </c:pt>
                <c:pt idx="1">
                  <c:v>0.39255499153976309</c:v>
                </c:pt>
                <c:pt idx="2">
                  <c:v>0.2859560067681895</c:v>
                </c:pt>
                <c:pt idx="3">
                  <c:v>4.3993231810490696E-2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E0-4B8E-8A57-B1258EF6F0C4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'7.统计'!$BB$61:$BE$61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'7.统计'!$BB$76:$BE$76</c:f>
              <c:numCache>
                <c:formatCode>0.00%</c:formatCode>
                <c:ptCount val="4"/>
                <c:pt idx="0">
                  <c:v>0.21621621621621623</c:v>
                </c:pt>
                <c:pt idx="1">
                  <c:v>0.34797297297297297</c:v>
                </c:pt>
                <c:pt idx="2">
                  <c:v>0.32432432432432434</c:v>
                </c:pt>
                <c:pt idx="3">
                  <c:v>0.11148648648648649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E0-4B8E-8A57-B1258EF6F0C4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'7.统计'!$BB$61:$BE$61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'7.统计'!$BB$77:$BE$77</c:f>
              <c:numCache>
                <c:formatCode>0.00%</c:formatCode>
                <c:ptCount val="4"/>
                <c:pt idx="0">
                  <c:v>0.22748267898383373</c:v>
                </c:pt>
                <c:pt idx="1">
                  <c:v>0.24942263279445728</c:v>
                </c:pt>
                <c:pt idx="2">
                  <c:v>0.27482678983833719</c:v>
                </c:pt>
                <c:pt idx="3">
                  <c:v>0.24826789838337182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E0-4B8E-8A57-B1258EF6F0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594223"/>
        <c:axId val="423601903"/>
      </c:barChart>
      <c:catAx>
        <c:axId val="4235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01903"/>
        <c:crosses val="autoZero"/>
        <c:auto val="1"/>
        <c:lblAlgn val="ctr"/>
        <c:lblOffset val="100"/>
        <c:noMultiLvlLbl val="0"/>
      </c:catAx>
      <c:valAx>
        <c:axId val="4236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59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'7.统计'!$D$70:$E$70</c:f>
              <c:strCache>
                <c:ptCount val="2"/>
                <c:pt idx="0">
                  <c:v>男</c:v>
                </c:pt>
                <c:pt idx="1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'7.统计'!$F$70:$I$70</c:f>
              <c:numCache>
                <c:formatCode>0.00%</c:formatCode>
                <c:ptCount val="4"/>
                <c:pt idx="0">
                  <c:v>0.34375</c:v>
                </c:pt>
                <c:pt idx="1">
                  <c:v>0.31730769230769229</c:v>
                </c:pt>
                <c:pt idx="2">
                  <c:v>0.24278846153846154</c:v>
                </c:pt>
                <c:pt idx="3">
                  <c:v>9.6153846153846159E-2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F-481E-91A0-6F173E706D25}"/>
            </c:ext>
          </c:extLst>
        </c:ser>
        <c:ser>
          <c:idx val="1"/>
          <c:order val="1"/>
          <c:tx>
            <c:strRef>
              <c:f>'7.统计'!$D$71:$E$71</c:f>
              <c:strCache>
                <c:ptCount val="2"/>
                <c:pt idx="0">
                  <c:v>男</c:v>
                </c:pt>
                <c:pt idx="1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'7.统计'!$F$71:$I$71</c:f>
              <c:numCache>
                <c:formatCode>0.00%</c:formatCode>
                <c:ptCount val="4"/>
                <c:pt idx="0">
                  <c:v>0.17507002801120447</c:v>
                </c:pt>
                <c:pt idx="1">
                  <c:v>0.52240896358543421</c:v>
                </c:pt>
                <c:pt idx="2">
                  <c:v>0.23949579831932774</c:v>
                </c:pt>
                <c:pt idx="3">
                  <c:v>6.3025210084033612E-2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F-481E-91A0-6F173E706D25}"/>
            </c:ext>
          </c:extLst>
        </c:ser>
        <c:ser>
          <c:idx val="2"/>
          <c:order val="2"/>
          <c:tx>
            <c:strRef>
              <c:f>'7.统计'!$D$72:$E$72</c:f>
              <c:strCache>
                <c:ptCount val="2"/>
                <c:pt idx="0">
                  <c:v>男</c:v>
                </c:pt>
                <c:pt idx="1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'7.统计'!$F$72:$I$72</c:f>
              <c:numCache>
                <c:formatCode>0.00%</c:formatCode>
                <c:ptCount val="4"/>
                <c:pt idx="0">
                  <c:v>0.22750642673521851</c:v>
                </c:pt>
                <c:pt idx="1">
                  <c:v>0.49614395886889462</c:v>
                </c:pt>
                <c:pt idx="2">
                  <c:v>0.18251928020565553</c:v>
                </c:pt>
                <c:pt idx="3">
                  <c:v>9.383033419023136E-2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DF-481E-91A0-6F173E706D25}"/>
            </c:ext>
          </c:extLst>
        </c:ser>
        <c:ser>
          <c:idx val="3"/>
          <c:order val="3"/>
          <c:tx>
            <c:strRef>
              <c:f>'7.统计'!$D$73:$E$73</c:f>
              <c:strCache>
                <c:ptCount val="2"/>
                <c:pt idx="0">
                  <c:v>男</c:v>
                </c:pt>
                <c:pt idx="1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'7.统计'!$F$73:$I$73</c:f>
              <c:numCache>
                <c:formatCode>0.00%</c:formatCode>
                <c:ptCount val="4"/>
                <c:pt idx="0">
                  <c:v>0.44894651539708263</c:v>
                </c:pt>
                <c:pt idx="1">
                  <c:v>0.37925445705024313</c:v>
                </c:pt>
                <c:pt idx="2">
                  <c:v>4.2139384116693678E-2</c:v>
                </c:pt>
                <c:pt idx="3">
                  <c:v>0.12965964343598055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DF-481E-91A0-6F173E706D25}"/>
            </c:ext>
          </c:extLst>
        </c:ser>
        <c:ser>
          <c:idx val="4"/>
          <c:order val="4"/>
          <c:tx>
            <c:strRef>
              <c:f>'7.统计'!$D$74:$E$74</c:f>
              <c:strCache>
                <c:ptCount val="2"/>
                <c:pt idx="0">
                  <c:v>女</c:v>
                </c:pt>
                <c:pt idx="1">
                  <c:v>小于1年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'7.统计'!$F$74:$I$74</c:f>
              <c:numCache>
                <c:formatCode>0.00%</c:formatCode>
                <c:ptCount val="4"/>
                <c:pt idx="0">
                  <c:v>0.18260869565217391</c:v>
                </c:pt>
                <c:pt idx="1">
                  <c:v>0.30434782608695654</c:v>
                </c:pt>
                <c:pt idx="2">
                  <c:v>0.37391304347826088</c:v>
                </c:pt>
                <c:pt idx="3">
                  <c:v>0.1391304347826087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DF-481E-91A0-6F173E706D25}"/>
            </c:ext>
          </c:extLst>
        </c:ser>
        <c:ser>
          <c:idx val="5"/>
          <c:order val="5"/>
          <c:tx>
            <c:strRef>
              <c:f>'7.统计'!$D$75:$E$75</c:f>
              <c:strCache>
                <c:ptCount val="2"/>
                <c:pt idx="0">
                  <c:v>女</c:v>
                </c:pt>
                <c:pt idx="1">
                  <c:v>1-3年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'7.统计'!$F$75:$I$75</c:f>
              <c:numCache>
                <c:formatCode>0.00%</c:formatCode>
                <c:ptCount val="4"/>
                <c:pt idx="0">
                  <c:v>0.116751269035533</c:v>
                </c:pt>
                <c:pt idx="1">
                  <c:v>0.57360406091370564</c:v>
                </c:pt>
                <c:pt idx="2">
                  <c:v>0.23011844331641285</c:v>
                </c:pt>
                <c:pt idx="3">
                  <c:v>7.952622673434856E-2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DF-481E-91A0-6F173E706D25}"/>
            </c:ext>
          </c:extLst>
        </c:ser>
        <c:ser>
          <c:idx val="6"/>
          <c:order val="6"/>
          <c:tx>
            <c:strRef>
              <c:f>'7.统计'!$D$76:$E$76</c:f>
              <c:strCache>
                <c:ptCount val="2"/>
                <c:pt idx="0">
                  <c:v>女</c:v>
                </c:pt>
                <c:pt idx="1">
                  <c:v>3-5年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'7.统计'!$F$76:$I$76</c:f>
              <c:numCache>
                <c:formatCode>0.00%</c:formatCode>
                <c:ptCount val="4"/>
                <c:pt idx="0">
                  <c:v>0.16216216216216217</c:v>
                </c:pt>
                <c:pt idx="1">
                  <c:v>0.53378378378378377</c:v>
                </c:pt>
                <c:pt idx="2">
                  <c:v>0.19594594594594594</c:v>
                </c:pt>
                <c:pt idx="3">
                  <c:v>0.10810810810810811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DF-481E-91A0-6F173E706D25}"/>
            </c:ext>
          </c:extLst>
        </c:ser>
        <c:ser>
          <c:idx val="7"/>
          <c:order val="7"/>
          <c:tx>
            <c:strRef>
              <c:f>'7.统计'!$D$77:$E$77</c:f>
              <c:strCache>
                <c:ptCount val="2"/>
                <c:pt idx="0">
                  <c:v>女</c:v>
                </c:pt>
                <c:pt idx="1">
                  <c:v>5年以上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'7.统计'!$F$41:$I$41</c:f>
              <c:strCache>
                <c:ptCount val="4"/>
                <c:pt idx="0">
                  <c:v>A.非常了解</c:v>
                </c:pt>
                <c:pt idx="1">
                  <c:v>B.一般了解</c:v>
                </c:pt>
                <c:pt idx="2">
                  <c:v>C.不太了解</c:v>
                </c:pt>
                <c:pt idx="3">
                  <c:v>D.希望增加了解</c:v>
                </c:pt>
              </c:strCache>
            </c:strRef>
          </c:cat>
          <c:val>
            <c:numRef>
              <c:f>'7.统计'!$F$77:$I$77</c:f>
              <c:numCache>
                <c:formatCode>0.00%</c:formatCode>
                <c:ptCount val="4"/>
                <c:pt idx="0">
                  <c:v>0.28406466512702078</c:v>
                </c:pt>
                <c:pt idx="1">
                  <c:v>0.44803695150115475</c:v>
                </c:pt>
                <c:pt idx="2">
                  <c:v>7.9676674364896075E-2</c:v>
                </c:pt>
                <c:pt idx="3">
                  <c:v>0.18822170900692842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DF-481E-91A0-6F173E706D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'7.统计'!$AP$50:$AU$50</c:f>
              <c:numCache>
                <c:formatCode>0.00%</c:formatCode>
                <c:ptCount val="6"/>
                <c:pt idx="0">
                  <c:v>0.22075055187637968</c:v>
                </c:pt>
                <c:pt idx="1">
                  <c:v>0.32450331125827814</c:v>
                </c:pt>
                <c:pt idx="2">
                  <c:v>0.2251655629139073</c:v>
                </c:pt>
                <c:pt idx="3">
                  <c:v>0.41501103752759383</c:v>
                </c:pt>
                <c:pt idx="4">
                  <c:v>0.12141280353200883</c:v>
                </c:pt>
                <c:pt idx="5">
                  <c:v>5.0772626931567331E-2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E-471A-ABD6-F25B25A603EF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'7.统计'!$AP$51:$AU$51</c:f>
              <c:numCache>
                <c:formatCode>0.00%</c:formatCode>
                <c:ptCount val="6"/>
                <c:pt idx="0">
                  <c:v>0.11851851851851852</c:v>
                </c:pt>
                <c:pt idx="1">
                  <c:v>0.46574074074074073</c:v>
                </c:pt>
                <c:pt idx="2">
                  <c:v>0.2388888888888889</c:v>
                </c:pt>
                <c:pt idx="3">
                  <c:v>0.47962962962962963</c:v>
                </c:pt>
                <c:pt idx="4">
                  <c:v>0.12222222222222222</c:v>
                </c:pt>
                <c:pt idx="5">
                  <c:v>2.1296296296296296E-2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E-471A-ABD6-F25B25A603EF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'7.统计'!$AP$52:$AU$52</c:f>
              <c:numCache>
                <c:formatCode>0.00%</c:formatCode>
                <c:ptCount val="6"/>
                <c:pt idx="0">
                  <c:v>0.1295843520782396</c:v>
                </c:pt>
                <c:pt idx="1">
                  <c:v>0.4352078239608802</c:v>
                </c:pt>
                <c:pt idx="2">
                  <c:v>0.24327628361858192</c:v>
                </c:pt>
                <c:pt idx="3">
                  <c:v>0.59290953545232272</c:v>
                </c:pt>
                <c:pt idx="4">
                  <c:v>0.16014669926650366</c:v>
                </c:pt>
                <c:pt idx="5">
                  <c:v>2.6894865525672371E-2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E-471A-ABD6-F25B25A603EF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'7.统计'!$AP$53:$AU$53</c:f>
              <c:numCache>
                <c:formatCode>0.00%</c:formatCode>
                <c:ptCount val="6"/>
                <c:pt idx="0">
                  <c:v>0.18836915297092288</c:v>
                </c:pt>
                <c:pt idx="1">
                  <c:v>0.32111251580278127</c:v>
                </c:pt>
                <c:pt idx="2">
                  <c:v>0.19216182048040456</c:v>
                </c:pt>
                <c:pt idx="3">
                  <c:v>0.53350189633375478</c:v>
                </c:pt>
                <c:pt idx="4">
                  <c:v>0.15676359039190899</c:v>
                </c:pt>
                <c:pt idx="5">
                  <c:v>4.804045512010114E-2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7E-471A-ABD6-F25B25A603EF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'7.统计'!$AP$54:$AU$54</c:f>
              <c:numCache>
                <c:formatCode>0.00%</c:formatCode>
                <c:ptCount val="6"/>
                <c:pt idx="0">
                  <c:v>0.22123893805309736</c:v>
                </c:pt>
                <c:pt idx="1">
                  <c:v>0.33628318584070799</c:v>
                </c:pt>
                <c:pt idx="2">
                  <c:v>0.2831858407079646</c:v>
                </c:pt>
                <c:pt idx="3">
                  <c:v>0.47345132743362833</c:v>
                </c:pt>
                <c:pt idx="4">
                  <c:v>0.13716814159292035</c:v>
                </c:pt>
                <c:pt idx="5">
                  <c:v>8.8495575221238937E-3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7E-471A-ABD6-F25B25A603EF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'7.统计'!$AP$55:$AU$55</c:f>
              <c:numCache>
                <c:formatCode>0.00%</c:formatCode>
                <c:ptCount val="6"/>
                <c:pt idx="0">
                  <c:v>0.11735537190082644</c:v>
                </c:pt>
                <c:pt idx="1">
                  <c:v>0.48760330578512395</c:v>
                </c:pt>
                <c:pt idx="2">
                  <c:v>0.2628099173553719</c:v>
                </c:pt>
                <c:pt idx="3">
                  <c:v>0.48925619834710743</c:v>
                </c:pt>
                <c:pt idx="4">
                  <c:v>0.13884297520661157</c:v>
                </c:pt>
                <c:pt idx="5">
                  <c:v>1.8181818181818181E-2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7E-471A-ABD6-F25B25A603EF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'7.统计'!$AP$56:$AU$56</c:f>
              <c:numCache>
                <c:formatCode>0.00%</c:formatCode>
                <c:ptCount val="6"/>
                <c:pt idx="0">
                  <c:v>0.11282051282051282</c:v>
                </c:pt>
                <c:pt idx="1">
                  <c:v>0.42051282051282052</c:v>
                </c:pt>
                <c:pt idx="2">
                  <c:v>0.24615384615384617</c:v>
                </c:pt>
                <c:pt idx="3">
                  <c:v>0.52478632478632481</c:v>
                </c:pt>
                <c:pt idx="4">
                  <c:v>0.14188034188034188</c:v>
                </c:pt>
                <c:pt idx="5">
                  <c:v>2.735042735042735E-2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7E-471A-ABD6-F25B25A603EF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'7.统计'!$AP$41:$AU$41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'7.统计'!$AP$57:$AU$57</c:f>
              <c:numCache>
                <c:formatCode>0.00%</c:formatCode>
                <c:ptCount val="6"/>
                <c:pt idx="0">
                  <c:v>0.16801853997682503</c:v>
                </c:pt>
                <c:pt idx="1">
                  <c:v>0.33256083429895711</c:v>
                </c:pt>
                <c:pt idx="2">
                  <c:v>0.20393974507531865</c:v>
                </c:pt>
                <c:pt idx="3">
                  <c:v>0.54229432213209738</c:v>
                </c:pt>
                <c:pt idx="4">
                  <c:v>0.13789107763615296</c:v>
                </c:pt>
                <c:pt idx="5">
                  <c:v>5.909617612977984E-2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7E-471A-ABD6-F25B25A603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'7.统计'!$AV$50:$BA$50</c:f>
              <c:numCache>
                <c:formatCode>0.00%</c:formatCode>
                <c:ptCount val="6"/>
                <c:pt idx="0">
                  <c:v>0.39293598233995586</c:v>
                </c:pt>
                <c:pt idx="1">
                  <c:v>0.32008830022075058</c:v>
                </c:pt>
                <c:pt idx="2">
                  <c:v>0.33112582781456956</c:v>
                </c:pt>
                <c:pt idx="3">
                  <c:v>0.27152317880794702</c:v>
                </c:pt>
                <c:pt idx="4">
                  <c:v>0.13024282560706402</c:v>
                </c:pt>
                <c:pt idx="5">
                  <c:v>6.1810154525386317E-2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A-4843-A04B-B3AB77FFD8B0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'7.统计'!$AV$51:$BA$51</c:f>
              <c:numCache>
                <c:formatCode>0.00%</c:formatCode>
                <c:ptCount val="6"/>
                <c:pt idx="0">
                  <c:v>0.37685185185185183</c:v>
                </c:pt>
                <c:pt idx="1">
                  <c:v>0.34722222222222221</c:v>
                </c:pt>
                <c:pt idx="2">
                  <c:v>0.37314814814814817</c:v>
                </c:pt>
                <c:pt idx="3">
                  <c:v>0.31203703703703706</c:v>
                </c:pt>
                <c:pt idx="4">
                  <c:v>0.1425925925925926</c:v>
                </c:pt>
                <c:pt idx="5">
                  <c:v>4.4444444444444446E-2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A-4843-A04B-B3AB77FFD8B0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'7.统计'!$AV$52:$BA$52</c:f>
              <c:numCache>
                <c:formatCode>0.00%</c:formatCode>
                <c:ptCount val="6"/>
                <c:pt idx="0">
                  <c:v>0.39364303178484106</c:v>
                </c:pt>
                <c:pt idx="1">
                  <c:v>0.32518337408312958</c:v>
                </c:pt>
                <c:pt idx="2">
                  <c:v>0.46088019559902199</c:v>
                </c:pt>
                <c:pt idx="3">
                  <c:v>0.41564792176039123</c:v>
                </c:pt>
                <c:pt idx="4">
                  <c:v>0.16625916870415647</c:v>
                </c:pt>
                <c:pt idx="5">
                  <c:v>5.1344743276283619E-2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A-4843-A04B-B3AB77FFD8B0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'7.统计'!$AV$53:$BA$53</c:f>
              <c:numCache>
                <c:formatCode>0.00%</c:formatCode>
                <c:ptCount val="6"/>
                <c:pt idx="0">
                  <c:v>0.44500632111251581</c:v>
                </c:pt>
                <c:pt idx="1">
                  <c:v>0.2831858407079646</c:v>
                </c:pt>
                <c:pt idx="2">
                  <c:v>0.42098609355246525</c:v>
                </c:pt>
                <c:pt idx="3">
                  <c:v>0.347661188369153</c:v>
                </c:pt>
                <c:pt idx="4">
                  <c:v>0.13274336283185842</c:v>
                </c:pt>
                <c:pt idx="5">
                  <c:v>9.7345132743362831E-2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A-4843-A04B-B3AB77FFD8B0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'7.统计'!$AV$54:$BA$54</c:f>
              <c:numCache>
                <c:formatCode>0.00%</c:formatCode>
                <c:ptCount val="6"/>
                <c:pt idx="0">
                  <c:v>0.36283185840707965</c:v>
                </c:pt>
                <c:pt idx="1">
                  <c:v>0.36283185840707965</c:v>
                </c:pt>
                <c:pt idx="2">
                  <c:v>0.43805309734513276</c:v>
                </c:pt>
                <c:pt idx="3">
                  <c:v>0.31858407079646017</c:v>
                </c:pt>
                <c:pt idx="4">
                  <c:v>0.13274336283185842</c:v>
                </c:pt>
                <c:pt idx="5">
                  <c:v>2.6548672566371681E-2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A-4843-A04B-B3AB77FFD8B0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'7.统计'!$AV$55:$BA$55</c:f>
              <c:numCache>
                <c:formatCode>0.00%</c:formatCode>
                <c:ptCount val="6"/>
                <c:pt idx="0">
                  <c:v>0.3669421487603306</c:v>
                </c:pt>
                <c:pt idx="1">
                  <c:v>0.36528925619834712</c:v>
                </c:pt>
                <c:pt idx="2">
                  <c:v>0.45123966942148758</c:v>
                </c:pt>
                <c:pt idx="3">
                  <c:v>0.38842975206611569</c:v>
                </c:pt>
                <c:pt idx="4">
                  <c:v>0.13884297520661157</c:v>
                </c:pt>
                <c:pt idx="5">
                  <c:v>3.4710743801652892E-2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A-4843-A04B-B3AB77FFD8B0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'7.统计'!$AV$56:$BA$56</c:f>
              <c:numCache>
                <c:formatCode>0.00%</c:formatCode>
                <c:ptCount val="6"/>
                <c:pt idx="0">
                  <c:v>0.35555555555555557</c:v>
                </c:pt>
                <c:pt idx="1">
                  <c:v>0.30940170940170941</c:v>
                </c:pt>
                <c:pt idx="2">
                  <c:v>0.43931623931623931</c:v>
                </c:pt>
                <c:pt idx="3">
                  <c:v>0.33333333333333331</c:v>
                </c:pt>
                <c:pt idx="4">
                  <c:v>0.15384615384615385</c:v>
                </c:pt>
                <c:pt idx="5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A-4843-A04B-B3AB77FFD8B0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'7.统计'!$AV$41:$BA$41</c:f>
              <c:strCache>
                <c:ptCount val="6"/>
                <c:pt idx="0">
                  <c:v>A.收益不够高</c:v>
                </c:pt>
                <c:pt idx="1">
                  <c:v>B.不能分散风险</c:v>
                </c:pt>
                <c:pt idx="2">
                  <c:v>C.费率太高</c:v>
                </c:pt>
                <c:pt idx="3">
                  <c:v>D.流动性不好</c:v>
                </c:pt>
                <c:pt idx="4">
                  <c:v>E,不够聚焦</c:v>
                </c:pt>
                <c:pt idx="5">
                  <c:v>F.其他顾虑</c:v>
                </c:pt>
              </c:strCache>
            </c:strRef>
          </c:cat>
          <c:val>
            <c:numRef>
              <c:f>'7.统计'!$AV$57:$BA$57</c:f>
              <c:numCache>
                <c:formatCode>0.00%</c:formatCode>
                <c:ptCount val="6"/>
                <c:pt idx="0">
                  <c:v>0.39976825028968715</c:v>
                </c:pt>
                <c:pt idx="1">
                  <c:v>0.27578215527230593</c:v>
                </c:pt>
                <c:pt idx="2">
                  <c:v>0.42989571263035919</c:v>
                </c:pt>
                <c:pt idx="3">
                  <c:v>0.34183082271147164</c:v>
                </c:pt>
                <c:pt idx="4">
                  <c:v>0.13209733487833139</c:v>
                </c:pt>
                <c:pt idx="5">
                  <c:v>0.13209733487833139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A-4843-A04B-B3AB77FFD8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性别</a:t>
            </a:r>
            <a:r>
              <a:rPr lang="en-US" altLang="zh-CN"/>
              <a:t>×</a:t>
            </a: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'7.统计'!$D$50:$E$50</c:f>
              <c:strCache>
                <c:ptCount val="2"/>
                <c:pt idx="0">
                  <c:v>男</c:v>
                </c:pt>
                <c:pt idx="1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'7.统计'!$BB$50:$BE$50</c:f>
              <c:numCache>
                <c:formatCode>0.00%</c:formatCode>
                <c:ptCount val="4"/>
                <c:pt idx="0">
                  <c:v>0.3443708609271523</c:v>
                </c:pt>
                <c:pt idx="1">
                  <c:v>0.3443708609271523</c:v>
                </c:pt>
                <c:pt idx="2">
                  <c:v>0.19205298013245034</c:v>
                </c:pt>
                <c:pt idx="3">
                  <c:v>0.11920529801324503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E-47CF-BE12-751E4BE0022D}"/>
            </c:ext>
          </c:extLst>
        </c:ser>
        <c:ser>
          <c:idx val="1"/>
          <c:order val="1"/>
          <c:tx>
            <c:strRef>
              <c:f>'7.统计'!$D$51:$E$51</c:f>
              <c:strCache>
                <c:ptCount val="2"/>
                <c:pt idx="0">
                  <c:v>男</c:v>
                </c:pt>
                <c:pt idx="1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'7.统计'!$BB$51:$BE$51</c:f>
              <c:numCache>
                <c:formatCode>0.00%</c:formatCode>
                <c:ptCount val="4"/>
                <c:pt idx="0">
                  <c:v>0.25740740740740742</c:v>
                </c:pt>
                <c:pt idx="1">
                  <c:v>0.35462962962962963</c:v>
                </c:pt>
                <c:pt idx="2">
                  <c:v>0.24444444444444444</c:v>
                </c:pt>
                <c:pt idx="3">
                  <c:v>0.14351851851851852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E-47CF-BE12-751E4BE0022D}"/>
            </c:ext>
          </c:extLst>
        </c:ser>
        <c:ser>
          <c:idx val="2"/>
          <c:order val="2"/>
          <c:tx>
            <c:strRef>
              <c:f>'7.统计'!$D$52:$E$52</c:f>
              <c:strCache>
                <c:ptCount val="2"/>
                <c:pt idx="0">
                  <c:v>男</c:v>
                </c:pt>
                <c:pt idx="1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'7.统计'!$BB$52:$BE$52</c:f>
              <c:numCache>
                <c:formatCode>0.00%</c:formatCode>
                <c:ptCount val="4"/>
                <c:pt idx="0">
                  <c:v>0.23227383863080683</c:v>
                </c:pt>
                <c:pt idx="1">
                  <c:v>0.28117359413202936</c:v>
                </c:pt>
                <c:pt idx="2">
                  <c:v>0.27628361858190709</c:v>
                </c:pt>
                <c:pt idx="3">
                  <c:v>0.21026894865525672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0E-47CF-BE12-751E4BE0022D}"/>
            </c:ext>
          </c:extLst>
        </c:ser>
        <c:ser>
          <c:idx val="3"/>
          <c:order val="3"/>
          <c:tx>
            <c:strRef>
              <c:f>'7.统计'!$D$53:$E$53</c:f>
              <c:strCache>
                <c:ptCount val="2"/>
                <c:pt idx="0">
                  <c:v>男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'7.统计'!$BB$53:$BE$53</c:f>
              <c:numCache>
                <c:formatCode>0.00%</c:formatCode>
                <c:ptCount val="4"/>
                <c:pt idx="0">
                  <c:v>0.25790139064475348</c:v>
                </c:pt>
                <c:pt idx="1">
                  <c:v>0.26548672566371684</c:v>
                </c:pt>
                <c:pt idx="2">
                  <c:v>0.26295828065739568</c:v>
                </c:pt>
                <c:pt idx="3">
                  <c:v>0.213653603034134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0E-47CF-BE12-751E4BE0022D}"/>
            </c:ext>
          </c:extLst>
        </c:ser>
        <c:ser>
          <c:idx val="4"/>
          <c:order val="4"/>
          <c:tx>
            <c:strRef>
              <c:f>'7.统计'!$D$54:$E$54</c:f>
              <c:strCache>
                <c:ptCount val="2"/>
                <c:pt idx="0">
                  <c:v>女</c:v>
                </c:pt>
                <c:pt idx="1">
                  <c:v>18-30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'7.统计'!$BB$54:$BE$54</c:f>
              <c:numCache>
                <c:formatCode>0.00%</c:formatCode>
                <c:ptCount val="4"/>
                <c:pt idx="0">
                  <c:v>0.29203539823008851</c:v>
                </c:pt>
                <c:pt idx="1">
                  <c:v>0.33185840707964603</c:v>
                </c:pt>
                <c:pt idx="2">
                  <c:v>0.2831858407079646</c:v>
                </c:pt>
                <c:pt idx="3">
                  <c:v>9.2920353982300891E-2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0E-47CF-BE12-751E4BE0022D}"/>
            </c:ext>
          </c:extLst>
        </c:ser>
        <c:ser>
          <c:idx val="5"/>
          <c:order val="5"/>
          <c:tx>
            <c:strRef>
              <c:f>'7.统计'!$D$55:$E$55</c:f>
              <c:strCache>
                <c:ptCount val="2"/>
                <c:pt idx="0">
                  <c:v>女</c:v>
                </c:pt>
                <c:pt idx="1">
                  <c:v>31-40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'7.统计'!$BB$55:$BE$55</c:f>
              <c:numCache>
                <c:formatCode>0.00%</c:formatCode>
                <c:ptCount val="4"/>
                <c:pt idx="0">
                  <c:v>0.23966942148760331</c:v>
                </c:pt>
                <c:pt idx="1">
                  <c:v>0.35206611570247937</c:v>
                </c:pt>
                <c:pt idx="2">
                  <c:v>0.28925619834710742</c:v>
                </c:pt>
                <c:pt idx="3">
                  <c:v>0.11900826446280992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0E-47CF-BE12-751E4BE0022D}"/>
            </c:ext>
          </c:extLst>
        </c:ser>
        <c:ser>
          <c:idx val="6"/>
          <c:order val="6"/>
          <c:tx>
            <c:strRef>
              <c:f>'7.统计'!$D$56:$E$56</c:f>
              <c:strCache>
                <c:ptCount val="2"/>
                <c:pt idx="0">
                  <c:v>女</c:v>
                </c:pt>
                <c:pt idx="1">
                  <c:v>41-50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'7.统计'!$BB$56:$BE$56</c:f>
              <c:numCache>
                <c:formatCode>0.00%</c:formatCode>
                <c:ptCount val="4"/>
                <c:pt idx="0">
                  <c:v>0.24786324786324787</c:v>
                </c:pt>
                <c:pt idx="1">
                  <c:v>0.31111111111111112</c:v>
                </c:pt>
                <c:pt idx="2">
                  <c:v>0.31111111111111112</c:v>
                </c:pt>
                <c:pt idx="3">
                  <c:v>0.12991452991452992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0E-47CF-BE12-751E4BE0022D}"/>
            </c:ext>
          </c:extLst>
        </c:ser>
        <c:ser>
          <c:idx val="7"/>
          <c:order val="7"/>
          <c:tx>
            <c:strRef>
              <c:f>'7.统计'!$D$57:$E$57</c:f>
              <c:strCache>
                <c:ptCount val="2"/>
                <c:pt idx="0">
                  <c:v>女</c:v>
                </c:pt>
                <c:pt idx="1">
                  <c:v>50岁以上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'7.统计'!$BB$41:$BE$41</c:f>
              <c:strCache>
                <c:ptCount val="4"/>
                <c:pt idx="0">
                  <c:v>A.半年以内</c:v>
                </c:pt>
                <c:pt idx="1">
                  <c:v>B.半年-1年</c:v>
                </c:pt>
                <c:pt idx="2">
                  <c:v>C.1年-3年</c:v>
                </c:pt>
                <c:pt idx="3">
                  <c:v>D.3年以上</c:v>
                </c:pt>
              </c:strCache>
            </c:strRef>
          </c:cat>
          <c:val>
            <c:numRef>
              <c:f>'7.统计'!$BB$57:$BE$57</c:f>
              <c:numCache>
                <c:formatCode>0.00%</c:formatCode>
                <c:ptCount val="4"/>
                <c:pt idx="0">
                  <c:v>0.29432213209733488</c:v>
                </c:pt>
                <c:pt idx="1">
                  <c:v>0.29316338354577059</c:v>
                </c:pt>
                <c:pt idx="2">
                  <c:v>0.23754345307068367</c:v>
                </c:pt>
                <c:pt idx="3">
                  <c:v>0.17497103128621089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0E-47CF-BE12-751E4BE00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620143"/>
        <c:axId val="423622063"/>
      </c:barChart>
      <c:catAx>
        <c:axId val="423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2063"/>
        <c:crosses val="autoZero"/>
        <c:auto val="1"/>
        <c:lblAlgn val="ctr"/>
        <c:lblOffset val="100"/>
        <c:noMultiLvlLbl val="0"/>
      </c:catAx>
      <c:valAx>
        <c:axId val="42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62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'7.统计'!$AP$34:$AU$34</c:f>
              <c:numCache>
                <c:formatCode>0.00%</c:formatCode>
                <c:ptCount val="6"/>
                <c:pt idx="0">
                  <c:v>0.31888544891640869</c:v>
                </c:pt>
                <c:pt idx="1">
                  <c:v>0.39164086687306504</c:v>
                </c:pt>
                <c:pt idx="2">
                  <c:v>0.16253869969040247</c:v>
                </c:pt>
                <c:pt idx="3">
                  <c:v>0.23065015479876161</c:v>
                </c:pt>
                <c:pt idx="4">
                  <c:v>8.5139318885448914E-2</c:v>
                </c:pt>
                <c:pt idx="5">
                  <c:v>4.7987616099071206E-2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A-48F7-94C4-A23FF1A24130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'7.统计'!$AP$35:$AU$35</c:f>
              <c:numCache>
                <c:formatCode>0.00%</c:formatCode>
                <c:ptCount val="6"/>
                <c:pt idx="0">
                  <c:v>0.14406130268199233</c:v>
                </c:pt>
                <c:pt idx="1">
                  <c:v>0.39540229885057471</c:v>
                </c:pt>
                <c:pt idx="2">
                  <c:v>0.26513409961685824</c:v>
                </c:pt>
                <c:pt idx="3">
                  <c:v>0.45977011494252873</c:v>
                </c:pt>
                <c:pt idx="4">
                  <c:v>0.12183908045977011</c:v>
                </c:pt>
                <c:pt idx="5">
                  <c:v>3.5249042145593872E-2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A-48F7-94C4-A23FF1A24130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'7.统计'!$AP$36:$AU$36</c:f>
              <c:numCache>
                <c:formatCode>0.00%</c:formatCode>
                <c:ptCount val="6"/>
                <c:pt idx="0">
                  <c:v>0.11532846715328467</c:v>
                </c:pt>
                <c:pt idx="1">
                  <c:v>0.40802919708029195</c:v>
                </c:pt>
                <c:pt idx="2">
                  <c:v>0.24306569343065693</c:v>
                </c:pt>
                <c:pt idx="3">
                  <c:v>0.54160583941605844</c:v>
                </c:pt>
                <c:pt idx="4">
                  <c:v>0.14306569343065692</c:v>
                </c:pt>
                <c:pt idx="5">
                  <c:v>2.7737226277372264E-2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A-48F7-94C4-A23FF1A24130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'7.统计'!$AP$29:$AU$29</c:f>
              <c:strCache>
                <c:ptCount val="6"/>
                <c:pt idx="0">
                  <c:v>A.不投黄金</c:v>
                </c:pt>
                <c:pt idx="1">
                  <c:v>B.黄金类银行理财</c:v>
                </c:pt>
                <c:pt idx="2">
                  <c:v>C.金饰、金条</c:v>
                </c:pt>
                <c:pt idx="3">
                  <c:v>D.黄金ETF或联接基金</c:v>
                </c:pt>
                <c:pt idx="4">
                  <c:v>E.FOF产品参与</c:v>
                </c:pt>
                <c:pt idx="5">
                  <c:v>F.其他黄金产品</c:v>
                </c:pt>
              </c:strCache>
            </c:strRef>
          </c:cat>
          <c:val>
            <c:numRef>
              <c:f>'7.统计'!$AP$37:$AU$37</c:f>
              <c:numCache>
                <c:formatCode>0.00%</c:formatCode>
                <c:ptCount val="6"/>
                <c:pt idx="0">
                  <c:v>0.12523809523809523</c:v>
                </c:pt>
                <c:pt idx="1">
                  <c:v>0.39809523809523811</c:v>
                </c:pt>
                <c:pt idx="2">
                  <c:v>0.22380952380952382</c:v>
                </c:pt>
                <c:pt idx="3">
                  <c:v>0.61904761904761907</c:v>
                </c:pt>
                <c:pt idx="4">
                  <c:v>0.16619047619047619</c:v>
                </c:pt>
                <c:pt idx="5">
                  <c:v>3.380952380952381E-2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FA-48F7-94C4-A23FF1A241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投资者样本分布（分性别）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C2-4CC3-89A0-E4E5DC6228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C2-4CC3-89A0-E4E5DC6228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'7.统计'!$E$10:$E$11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'7.统计'!$B$10:$B$11</c:f>
              <c:numCache>
                <c:formatCode>General</c:formatCode>
                <c:ptCount val="2"/>
                <c:pt idx="0">
                  <c:v>3142</c:v>
                </c:pt>
                <c:pt idx="1">
                  <c:v>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C-413C-8705-5EA97AA3E3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投资者样本分布（分年龄）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A4-4C26-8533-E58BD30611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A4-4C26-8533-E58BD30611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0A-4108-BCE7-2391D6B026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0A-4108-BCE7-2391D6B026C7}"/>
              </c:ext>
            </c:extLst>
          </c:dPt>
          <c:dLbls>
            <c:dLbl>
              <c:idx val="0"/>
              <c:layout>
                <c:manualLayout>
                  <c:x val="-7.5731208335111724E-2"/>
                  <c:y val="0.192237413376216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A4-4C26-8533-E58BD30611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'7.统计'!$E$18:$E$21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50岁以上</c:v>
                </c:pt>
              </c:strCache>
            </c:strRef>
          </c:cat>
          <c:val>
            <c:numRef>
              <c:f>'7.统计'!$B$18:$B$21</c:f>
              <c:numCache>
                <c:formatCode>General</c:formatCode>
                <c:ptCount val="4"/>
                <c:pt idx="0">
                  <c:v>679</c:v>
                </c:pt>
                <c:pt idx="1">
                  <c:v>1685</c:v>
                </c:pt>
                <c:pt idx="2">
                  <c:v>1403</c:v>
                </c:pt>
                <c:pt idx="3">
                  <c:v>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A4-4C26-8533-E58BD30611A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投资者样本分布（分投资经验）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EA-4D16-819C-752550BDEE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EA-4D16-819C-752550BDEE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EA-4D16-819C-752550BDEE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EA-4D16-819C-752550BDEE00}"/>
              </c:ext>
            </c:extLst>
          </c:dPt>
          <c:dLbls>
            <c:dLbl>
              <c:idx val="0"/>
              <c:layout>
                <c:manualLayout>
                  <c:x val="-7.5731208335111724E-2"/>
                  <c:y val="0.192237413376216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EA-4D16-819C-752550BDEE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'7.统计'!$E$30:$E$33</c:f>
              <c:strCache>
                <c:ptCount val="4"/>
                <c:pt idx="0">
                  <c:v>小于1年</c:v>
                </c:pt>
                <c:pt idx="1">
                  <c:v>1-3年</c:v>
                </c:pt>
                <c:pt idx="2">
                  <c:v>3-5年</c:v>
                </c:pt>
                <c:pt idx="3">
                  <c:v>5年以上</c:v>
                </c:pt>
              </c:strCache>
            </c:strRef>
          </c:cat>
          <c:val>
            <c:numRef>
              <c:f>'7.统计'!$B$30:$B$33</c:f>
              <c:numCache>
                <c:formatCode>General</c:formatCode>
                <c:ptCount val="4"/>
                <c:pt idx="0">
                  <c:v>646</c:v>
                </c:pt>
                <c:pt idx="1">
                  <c:v>1305</c:v>
                </c:pt>
                <c:pt idx="2">
                  <c:v>1370</c:v>
                </c:pt>
                <c:pt idx="3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EA-4D16-819C-752550BDEE0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投资海外金融资产占总金融资产的比例：</a:t>
            </a:r>
            <a:r>
              <a:rPr lang="zh-CN" altLang="en-US"/>
              <a:t>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'7.统计'!$AF$29:$AI$29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'7.统计'!$AF$34:$AI$34</c:f>
              <c:numCache>
                <c:formatCode>0.00%</c:formatCode>
                <c:ptCount val="4"/>
                <c:pt idx="0">
                  <c:v>0.44736842105263158</c:v>
                </c:pt>
                <c:pt idx="1">
                  <c:v>0.39783281733746129</c:v>
                </c:pt>
                <c:pt idx="2">
                  <c:v>0.10835913312693499</c:v>
                </c:pt>
                <c:pt idx="3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6-45DA-A655-B08009F1655E}"/>
            </c:ext>
          </c:extLst>
        </c:ser>
        <c:ser>
          <c:idx val="1"/>
          <c:order val="1"/>
          <c:tx>
            <c:strRef>
              <c:f>'7.统计'!$E$38</c:f>
              <c:strCache>
                <c:ptCount val="1"/>
                <c:pt idx="0">
                  <c:v>1年以上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'7.统计'!$AF$29:$AI$29</c:f>
              <c:strCache>
                <c:ptCount val="4"/>
                <c:pt idx="0">
                  <c:v>A.不投海外资产</c:v>
                </c:pt>
                <c:pt idx="1">
                  <c:v>B.小于10%</c:v>
                </c:pt>
                <c:pt idx="2">
                  <c:v>C.10-20%</c:v>
                </c:pt>
                <c:pt idx="3">
                  <c:v>D.20-50%</c:v>
                </c:pt>
              </c:strCache>
            </c:strRef>
          </c:cat>
          <c:val>
            <c:numRef>
              <c:f>'7.统计'!$AF$38:$AI$38</c:f>
              <c:numCache>
                <c:formatCode>0.00%</c:formatCode>
                <c:ptCount val="4"/>
                <c:pt idx="0">
                  <c:v>0.1694240837696335</c:v>
                </c:pt>
                <c:pt idx="1">
                  <c:v>0.38764397905759163</c:v>
                </c:pt>
                <c:pt idx="2">
                  <c:v>0.28314136125654449</c:v>
                </c:pt>
                <c:pt idx="3">
                  <c:v>0.11539267015706807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6-45DA-A655-B08009F165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89165679"/>
        <c:axId val="1789166159"/>
      </c:barChart>
      <c:dateAx>
        <c:axId val="17891656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0"/>
        <c:lblOffset val="100"/>
        <c:baseTimeUnit val="days"/>
      </c:dateAx>
      <c:valAx>
        <c:axId val="17891661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不投资黄金的人群比例：分年龄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'7.统计'!$E$22</c:f>
              <c:strCache>
                <c:ptCount val="1"/>
                <c:pt idx="0">
                  <c:v>18-30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'7.统计'!$AP$17</c:f>
              <c:strCache>
                <c:ptCount val="1"/>
                <c:pt idx="0">
                  <c:v>A.不投黄金</c:v>
                </c:pt>
              </c:strCache>
            </c:strRef>
          </c:cat>
          <c:val>
            <c:numRef>
              <c:f>'7.统计'!$AP$22</c:f>
              <c:numCache>
                <c:formatCode>0.00%</c:formatCode>
                <c:ptCount val="1"/>
                <c:pt idx="0">
                  <c:v>0.22091310751104565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6-4081-B476-AF164E8F581E}"/>
            </c:ext>
          </c:extLst>
        </c:ser>
        <c:ser>
          <c:idx val="1"/>
          <c:order val="1"/>
          <c:tx>
            <c:strRef>
              <c:f>'7.统计'!$E$23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'7.统计'!$AP$17</c:f>
              <c:strCache>
                <c:ptCount val="1"/>
                <c:pt idx="0">
                  <c:v>A.不投黄金</c:v>
                </c:pt>
              </c:strCache>
            </c:strRef>
          </c:cat>
          <c:val>
            <c:numRef>
              <c:f>'7.统计'!$AP$23</c:f>
              <c:numCache>
                <c:formatCode>0.00%</c:formatCode>
                <c:ptCount val="1"/>
                <c:pt idx="0">
                  <c:v>0.11810089020771514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6-4081-B476-AF164E8F581E}"/>
            </c:ext>
          </c:extLst>
        </c:ser>
        <c:ser>
          <c:idx val="2"/>
          <c:order val="2"/>
          <c:tx>
            <c:strRef>
              <c:f>'7.统计'!$E$24</c:f>
              <c:strCache>
                <c:ptCount val="1"/>
                <c:pt idx="0">
                  <c:v>41-50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'7.统计'!$AP$17</c:f>
              <c:strCache>
                <c:ptCount val="1"/>
                <c:pt idx="0">
                  <c:v>A.不投黄金</c:v>
                </c:pt>
              </c:strCache>
            </c:strRef>
          </c:cat>
          <c:val>
            <c:numRef>
              <c:f>'7.统计'!$AP$24</c:f>
              <c:numCache>
                <c:formatCode>0.00%</c:formatCode>
                <c:ptCount val="1"/>
                <c:pt idx="0">
                  <c:v>0.1225944404846757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96-4081-B476-AF164E8F581E}"/>
            </c:ext>
          </c:extLst>
        </c:ser>
        <c:ser>
          <c:idx val="3"/>
          <c:order val="3"/>
          <c:tx>
            <c:strRef>
              <c:f>'7.统计'!$E$25</c:f>
              <c:strCache>
                <c:ptCount val="1"/>
                <c:pt idx="0">
                  <c:v>50岁以上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'7.统计'!$AP$17</c:f>
              <c:strCache>
                <c:ptCount val="1"/>
                <c:pt idx="0">
                  <c:v>A.不投黄金</c:v>
                </c:pt>
              </c:strCache>
            </c:strRef>
          </c:cat>
          <c:val>
            <c:numRef>
              <c:f>'7.统计'!$AP$25</c:f>
              <c:numCache>
                <c:formatCode>0.00%</c:formatCode>
                <c:ptCount val="1"/>
                <c:pt idx="0">
                  <c:v>0.1777509068923821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96-4081-B476-AF164E8F58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988591"/>
        <c:axId val="560014031"/>
      </c:barChart>
      <c:catAx>
        <c:axId val="5599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014031"/>
        <c:crosses val="autoZero"/>
        <c:auto val="1"/>
        <c:lblAlgn val="ctr"/>
        <c:lblOffset val="100"/>
        <c:noMultiLvlLbl val="0"/>
      </c:catAx>
      <c:valAx>
        <c:axId val="5600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9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不投资黄金的人群比例：分投资经验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'7.统计'!$E$34</c:f>
              <c:strCache>
                <c:ptCount val="1"/>
                <c:pt idx="0">
                  <c:v>小于1年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</c:f>
              <c:strCache>
                <c:ptCount val="1"/>
                <c:pt idx="0">
                  <c:v>A.不投黄金</c:v>
                </c:pt>
              </c:strCache>
            </c:strRef>
          </c:cat>
          <c:val>
            <c:numRef>
              <c:f>'7.统计'!$AP$34</c:f>
              <c:numCache>
                <c:formatCode>0.00%</c:formatCode>
                <c:ptCount val="1"/>
                <c:pt idx="0">
                  <c:v>0.31888544891640869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9-4C23-8B69-E2D9B3E9F404}"/>
            </c:ext>
          </c:extLst>
        </c:ser>
        <c:ser>
          <c:idx val="1"/>
          <c:order val="1"/>
          <c:tx>
            <c:strRef>
              <c:f>'7.统计'!$E$35</c:f>
              <c:strCache>
                <c:ptCount val="1"/>
                <c:pt idx="0">
                  <c:v>1-3年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</c:f>
              <c:strCache>
                <c:ptCount val="1"/>
                <c:pt idx="0">
                  <c:v>A.不投黄金</c:v>
                </c:pt>
              </c:strCache>
            </c:strRef>
          </c:cat>
          <c:val>
            <c:numRef>
              <c:f>'7.统计'!$AP$35</c:f>
              <c:numCache>
                <c:formatCode>0.00%</c:formatCode>
                <c:ptCount val="1"/>
                <c:pt idx="0">
                  <c:v>0.14406130268199233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9-4C23-8B69-E2D9B3E9F404}"/>
            </c:ext>
          </c:extLst>
        </c:ser>
        <c:ser>
          <c:idx val="2"/>
          <c:order val="2"/>
          <c:tx>
            <c:strRef>
              <c:f>'7.统计'!$E$36</c:f>
              <c:strCache>
                <c:ptCount val="1"/>
                <c:pt idx="0">
                  <c:v>3-5年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</c:f>
              <c:strCache>
                <c:ptCount val="1"/>
                <c:pt idx="0">
                  <c:v>A.不投黄金</c:v>
                </c:pt>
              </c:strCache>
            </c:strRef>
          </c:cat>
          <c:val>
            <c:numRef>
              <c:f>'7.统计'!$AP$36</c:f>
              <c:numCache>
                <c:formatCode>0.00%</c:formatCode>
                <c:ptCount val="1"/>
                <c:pt idx="0">
                  <c:v>0.11532846715328467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D9-4C23-8B69-E2D9B3E9F404}"/>
            </c:ext>
          </c:extLst>
        </c:ser>
        <c:ser>
          <c:idx val="3"/>
          <c:order val="3"/>
          <c:tx>
            <c:strRef>
              <c:f>'7.统计'!$E$37</c:f>
              <c:strCache>
                <c:ptCount val="1"/>
                <c:pt idx="0">
                  <c:v>5年以上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'7.统计'!$AP$29</c:f>
              <c:strCache>
                <c:ptCount val="1"/>
                <c:pt idx="0">
                  <c:v>A.不投黄金</c:v>
                </c:pt>
              </c:strCache>
            </c:strRef>
          </c:cat>
          <c:val>
            <c:numRef>
              <c:f>'7.统计'!$AP$37</c:f>
              <c:numCache>
                <c:formatCode>0.00%</c:formatCode>
                <c:ptCount val="1"/>
                <c:pt idx="0">
                  <c:v>0.12523809523809523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D9-4C23-8B69-E2D9B3E9F4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9165679"/>
        <c:axId val="1789166159"/>
      </c:barChart>
      <c:catAx>
        <c:axId val="17891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6159"/>
        <c:crosses val="autoZero"/>
        <c:auto val="1"/>
        <c:lblAlgn val="ctr"/>
        <c:lblOffset val="100"/>
        <c:noMultiLvlLbl val="0"/>
      </c:catAx>
      <c:valAx>
        <c:axId val="17891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1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77" Type="http://schemas.openxmlformats.org/officeDocument/2006/relationships/chart" Target="../charts/chart77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583565</xdr:colOff>
      <xdr:row>6</xdr:row>
      <xdr:rowOff>15240</xdr:rowOff>
    </xdr:from>
    <xdr:to>
      <xdr:col>7</xdr:col>
      <xdr:colOff>929640</xdr:colOff>
      <xdr:row>7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0AF2E5-DC3A-44EF-552E-375CB6699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15875</xdr:colOff>
      <xdr:row>14</xdr:row>
      <xdr:rowOff>19050</xdr:rowOff>
    </xdr:from>
    <xdr:to>
      <xdr:col>9</xdr:col>
      <xdr:colOff>6350</xdr:colOff>
      <xdr:row>15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FAAAB5F-06C3-FE2C-001E-10FE4CD1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</xdr:colOff>
      <xdr:row>26</xdr:row>
      <xdr:rowOff>19050</xdr:rowOff>
    </xdr:from>
    <xdr:to>
      <xdr:col>9</xdr:col>
      <xdr:colOff>29883</xdr:colOff>
      <xdr:row>26</xdr:row>
      <xdr:rowOff>2756647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5210CB9-87A4-4430-BCB8-6F6DD275F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25401</xdr:colOff>
      <xdr:row>14</xdr:row>
      <xdr:rowOff>12700</xdr:rowOff>
    </xdr:from>
    <xdr:to>
      <xdr:col>12</xdr:col>
      <xdr:colOff>19050</xdr:colOff>
      <xdr:row>14</xdr:row>
      <xdr:rowOff>2260600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113C1E6-154D-425C-B510-F549E48DF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7619</xdr:colOff>
      <xdr:row>6</xdr:row>
      <xdr:rowOff>7620</xdr:rowOff>
    </xdr:from>
    <xdr:to>
      <xdr:col>11</xdr:col>
      <xdr:colOff>889000</xdr:colOff>
      <xdr:row>7</xdr:row>
      <xdr:rowOff>7620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2684261-28A1-4C18-BF0C-2CFCEDEF9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587375</xdr:colOff>
      <xdr:row>38</xdr:row>
      <xdr:rowOff>19050</xdr:rowOff>
    </xdr:from>
    <xdr:to>
      <xdr:col>9</xdr:col>
      <xdr:colOff>19050</xdr:colOff>
      <xdr:row>38</xdr:row>
      <xdr:rowOff>2286000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6FEB1A7-2384-4A66-763B-4D71A4565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38100</xdr:colOff>
      <xdr:row>6</xdr:row>
      <xdr:rowOff>15240</xdr:rowOff>
    </xdr:from>
    <xdr:to>
      <xdr:col>14</xdr:col>
      <xdr:colOff>1554480</xdr:colOff>
      <xdr:row>7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27BF3F00-D643-4480-A208-9218E03BD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18</xdr:col>
      <xdr:colOff>1318260</xdr:colOff>
      <xdr:row>7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E34D9C96-4A1D-4B04-855F-8139CC8D9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5</xdr:row>
      <xdr:rowOff>68580</xdr:rowOff>
    </xdr:from>
    <xdr:to>
      <xdr:col>21</xdr:col>
      <xdr:colOff>1333500</xdr:colOff>
      <xdr:row>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682B01C9-1979-4C06-B161-10C312E53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6</xdr:row>
      <xdr:rowOff>0</xdr:rowOff>
    </xdr:from>
    <xdr:to>
      <xdr:col>27</xdr:col>
      <xdr:colOff>1426882</xdr:colOff>
      <xdr:row>6</xdr:row>
      <xdr:rowOff>2514600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AB25B036-2500-495C-B3BA-154C23805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0</xdr:colOff>
      <xdr:row>6</xdr:row>
      <xdr:rowOff>0</xdr:rowOff>
    </xdr:from>
    <xdr:to>
      <xdr:col>31</xdr:col>
      <xdr:colOff>25400</xdr:colOff>
      <xdr:row>6</xdr:row>
      <xdr:rowOff>2514600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A1A16A12-602E-4D18-92F7-219852FA5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0</xdr:colOff>
      <xdr:row>4</xdr:row>
      <xdr:rowOff>121920</xdr:rowOff>
    </xdr:from>
    <xdr:to>
      <xdr:col>33</xdr:col>
      <xdr:colOff>1303020</xdr:colOff>
      <xdr:row>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F4E4CC98-80CB-4BE2-B434-30A22B2C1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0</xdr:colOff>
      <xdr:row>6</xdr:row>
      <xdr:rowOff>0</xdr:rowOff>
    </xdr:from>
    <xdr:to>
      <xdr:col>40</xdr:col>
      <xdr:colOff>1060450</xdr:colOff>
      <xdr:row>6</xdr:row>
      <xdr:rowOff>2514600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14C221FA-25E7-4927-9C72-4403556BE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1441822</xdr:colOff>
      <xdr:row>6</xdr:row>
      <xdr:rowOff>0</xdr:rowOff>
    </xdr:from>
    <xdr:to>
      <xdr:col>46</xdr:col>
      <xdr:colOff>1441822</xdr:colOff>
      <xdr:row>6</xdr:row>
      <xdr:rowOff>2514600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9F95D2B-03C2-4465-8703-2E4942453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47</xdr:col>
      <xdr:colOff>0</xdr:colOff>
      <xdr:row>6</xdr:row>
      <xdr:rowOff>0</xdr:rowOff>
    </xdr:from>
    <xdr:to>
      <xdr:col>53</xdr:col>
      <xdr:colOff>0</xdr:colOff>
      <xdr:row>6</xdr:row>
      <xdr:rowOff>2514600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938A8E82-80D2-4774-B3EF-395DCE0C6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53</xdr:col>
      <xdr:colOff>0</xdr:colOff>
      <xdr:row>6</xdr:row>
      <xdr:rowOff>0</xdr:rowOff>
    </xdr:from>
    <xdr:to>
      <xdr:col>57</xdr:col>
      <xdr:colOff>6350</xdr:colOff>
      <xdr:row>6</xdr:row>
      <xdr:rowOff>2514600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1EF3072-ABCC-4B2D-88D3-19C7EF05A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14</xdr:row>
      <xdr:rowOff>0</xdr:rowOff>
    </xdr:from>
    <xdr:to>
      <xdr:col>15</xdr:col>
      <xdr:colOff>1426882</xdr:colOff>
      <xdr:row>14</xdr:row>
      <xdr:rowOff>2247900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071D3970-F59E-41DB-95ED-8C8A93AB4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19</xdr:col>
      <xdr:colOff>19050</xdr:colOff>
      <xdr:row>14</xdr:row>
      <xdr:rowOff>2247900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50B52197-368F-42B4-BC51-5219A55C4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19</xdr:col>
      <xdr:colOff>0</xdr:colOff>
      <xdr:row>14</xdr:row>
      <xdr:rowOff>0</xdr:rowOff>
    </xdr:from>
    <xdr:to>
      <xdr:col>22</xdr:col>
      <xdr:colOff>19050</xdr:colOff>
      <xdr:row>14</xdr:row>
      <xdr:rowOff>2247900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12548B8A-1EF9-45C7-B7C3-3DA237604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22</xdr:col>
      <xdr:colOff>0</xdr:colOff>
      <xdr:row>14</xdr:row>
      <xdr:rowOff>0</xdr:rowOff>
    </xdr:from>
    <xdr:to>
      <xdr:col>28</xdr:col>
      <xdr:colOff>12700</xdr:colOff>
      <xdr:row>14</xdr:row>
      <xdr:rowOff>2247900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3201507-E810-4D23-9381-D74FF08F1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28</xdr:col>
      <xdr:colOff>0</xdr:colOff>
      <xdr:row>14</xdr:row>
      <xdr:rowOff>0</xdr:rowOff>
    </xdr:from>
    <xdr:to>
      <xdr:col>31</xdr:col>
      <xdr:colOff>0</xdr:colOff>
      <xdr:row>14</xdr:row>
      <xdr:rowOff>2247900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3E8D88D6-262C-43F1-9B21-09D8116D5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31</xdr:col>
      <xdr:colOff>0</xdr:colOff>
      <xdr:row>14</xdr:row>
      <xdr:rowOff>0</xdr:rowOff>
    </xdr:from>
    <xdr:to>
      <xdr:col>34</xdr:col>
      <xdr:colOff>1085850</xdr:colOff>
      <xdr:row>14</xdr:row>
      <xdr:rowOff>2247900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95D51FEB-F216-4F24-A413-0A6275ACB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35</xdr:col>
      <xdr:colOff>0</xdr:colOff>
      <xdr:row>14</xdr:row>
      <xdr:rowOff>0</xdr:rowOff>
    </xdr:from>
    <xdr:to>
      <xdr:col>41</xdr:col>
      <xdr:colOff>12700</xdr:colOff>
      <xdr:row>14</xdr:row>
      <xdr:rowOff>2247900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CFC76C59-DACD-4C8B-9987-4CA8658DC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41</xdr:col>
      <xdr:colOff>0</xdr:colOff>
      <xdr:row>14</xdr:row>
      <xdr:rowOff>0</xdr:rowOff>
    </xdr:from>
    <xdr:to>
      <xdr:col>47</xdr:col>
      <xdr:colOff>12700</xdr:colOff>
      <xdr:row>14</xdr:row>
      <xdr:rowOff>2247900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0B8CCCF4-F6EF-42D2-B2B0-18931802B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47</xdr:col>
      <xdr:colOff>0</xdr:colOff>
      <xdr:row>14</xdr:row>
      <xdr:rowOff>0</xdr:rowOff>
    </xdr:from>
    <xdr:to>
      <xdr:col>53</xdr:col>
      <xdr:colOff>12700</xdr:colOff>
      <xdr:row>14</xdr:row>
      <xdr:rowOff>2247900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C1F78770-FC09-4664-8C0D-A714B4231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53</xdr:col>
      <xdr:colOff>0</xdr:colOff>
      <xdr:row>14</xdr:row>
      <xdr:rowOff>0</xdr:rowOff>
    </xdr:from>
    <xdr:to>
      <xdr:col>57</xdr:col>
      <xdr:colOff>0</xdr:colOff>
      <xdr:row>14</xdr:row>
      <xdr:rowOff>2247900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5DEE825-AB0D-49D7-9F68-C9FC06739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9</xdr:col>
      <xdr:colOff>1</xdr:colOff>
      <xdr:row>26</xdr:row>
      <xdr:rowOff>0</xdr:rowOff>
    </xdr:from>
    <xdr:to>
      <xdr:col>12</xdr:col>
      <xdr:colOff>19051</xdr:colOff>
      <xdr:row>26</xdr:row>
      <xdr:rowOff>2768600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64539233-A913-4B44-B02B-3DB8E2B9F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15</xdr:col>
      <xdr:colOff>1434352</xdr:colOff>
      <xdr:row>26</xdr:row>
      <xdr:rowOff>2768600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DCD7DDE5-9E8A-40A0-9841-F8C158CED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19</xdr:col>
      <xdr:colOff>12700</xdr:colOff>
      <xdr:row>26</xdr:row>
      <xdr:rowOff>2768600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9F805CC7-442D-4BBC-833A-C42691146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19</xdr:col>
      <xdr:colOff>0</xdr:colOff>
      <xdr:row>26</xdr:row>
      <xdr:rowOff>0</xdr:rowOff>
    </xdr:from>
    <xdr:to>
      <xdr:col>22</xdr:col>
      <xdr:colOff>12700</xdr:colOff>
      <xdr:row>26</xdr:row>
      <xdr:rowOff>2768600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BCF7639E-298B-4F07-BFCE-F95184D4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22</xdr:col>
      <xdr:colOff>0</xdr:colOff>
      <xdr:row>26</xdr:row>
      <xdr:rowOff>0</xdr:rowOff>
    </xdr:from>
    <xdr:to>
      <xdr:col>28</xdr:col>
      <xdr:colOff>0</xdr:colOff>
      <xdr:row>26</xdr:row>
      <xdr:rowOff>2768600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9848A0C-3543-48C5-B463-50685091B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28</xdr:col>
      <xdr:colOff>0</xdr:colOff>
      <xdr:row>26</xdr:row>
      <xdr:rowOff>0</xdr:rowOff>
    </xdr:from>
    <xdr:to>
      <xdr:col>31</xdr:col>
      <xdr:colOff>31750</xdr:colOff>
      <xdr:row>26</xdr:row>
      <xdr:rowOff>2768600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6EAEF5C2-E5DF-4F4D-BDCA-CA752F0FC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31</xdr:col>
      <xdr:colOff>114300</xdr:colOff>
      <xdr:row>26</xdr:row>
      <xdr:rowOff>76200</xdr:rowOff>
    </xdr:from>
    <xdr:to>
      <xdr:col>34</xdr:col>
      <xdr:colOff>182880</xdr:colOff>
      <xdr:row>28</xdr:row>
      <xdr:rowOff>124460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0E534E29-EB29-4C59-8F77-425F32E4A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35</xdr:col>
      <xdr:colOff>0</xdr:colOff>
      <xdr:row>26</xdr:row>
      <xdr:rowOff>0</xdr:rowOff>
    </xdr:from>
    <xdr:to>
      <xdr:col>41</xdr:col>
      <xdr:colOff>12700</xdr:colOff>
      <xdr:row>26</xdr:row>
      <xdr:rowOff>2768600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C077319B-D0A6-4701-8B3B-A8DF72FCA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41</xdr:col>
      <xdr:colOff>0</xdr:colOff>
      <xdr:row>26</xdr:row>
      <xdr:rowOff>0</xdr:rowOff>
    </xdr:from>
    <xdr:to>
      <xdr:col>47</xdr:col>
      <xdr:colOff>12700</xdr:colOff>
      <xdr:row>26</xdr:row>
      <xdr:rowOff>2768600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9FE8E77D-C0F2-4120-B1D0-F436EF783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47</xdr:col>
      <xdr:colOff>0</xdr:colOff>
      <xdr:row>26</xdr:row>
      <xdr:rowOff>0</xdr:rowOff>
    </xdr:from>
    <xdr:to>
      <xdr:col>53</xdr:col>
      <xdr:colOff>12700</xdr:colOff>
      <xdr:row>26</xdr:row>
      <xdr:rowOff>2768600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C335C3F4-49A6-4E9E-8FA1-DF12D112A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53</xdr:col>
      <xdr:colOff>0</xdr:colOff>
      <xdr:row>26</xdr:row>
      <xdr:rowOff>0</xdr:rowOff>
    </xdr:from>
    <xdr:to>
      <xdr:col>57</xdr:col>
      <xdr:colOff>6350</xdr:colOff>
      <xdr:row>26</xdr:row>
      <xdr:rowOff>2768600</xdr:rowOff>
    </xdr:to>
    <xdr:graphicFrame macro="">
      <xdr:nvGraphicFramePr>
        <xdr:cNvPr id="40" name="图表 39">
          <a:extLst>
            <a:ext uri="{FF2B5EF4-FFF2-40B4-BE49-F238E27FC236}">
              <a16:creationId xmlns:a16="http://schemas.microsoft.com/office/drawing/2014/main" id="{EACB5769-EAB5-441D-9EF9-69993BDC1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9</xdr:col>
      <xdr:colOff>1</xdr:colOff>
      <xdr:row>37</xdr:row>
      <xdr:rowOff>137160</xdr:rowOff>
    </xdr:from>
    <xdr:to>
      <xdr:col>11</xdr:col>
      <xdr:colOff>1630680</xdr:colOff>
      <xdr:row>38</xdr:row>
      <xdr:rowOff>2270760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54D37C1C-69BB-4D25-B7E7-76EC59E4D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12</xdr:col>
      <xdr:colOff>0</xdr:colOff>
      <xdr:row>38</xdr:row>
      <xdr:rowOff>0</xdr:rowOff>
    </xdr:from>
    <xdr:to>
      <xdr:col>15</xdr:col>
      <xdr:colOff>1434352</xdr:colOff>
      <xdr:row>38</xdr:row>
      <xdr:rowOff>2266950</xdr:rowOff>
    </xdr:to>
    <xdr:graphicFrame macro="">
      <xdr:nvGraphicFramePr>
        <xdr:cNvPr id="42" name="图表 41">
          <a:extLst>
            <a:ext uri="{FF2B5EF4-FFF2-40B4-BE49-F238E27FC236}">
              <a16:creationId xmlns:a16="http://schemas.microsoft.com/office/drawing/2014/main" id="{A2E34175-EE6C-4475-8606-4E180F7A6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16</xdr:col>
      <xdr:colOff>0</xdr:colOff>
      <xdr:row>38</xdr:row>
      <xdr:rowOff>0</xdr:rowOff>
    </xdr:from>
    <xdr:to>
      <xdr:col>18</xdr:col>
      <xdr:colOff>1089660</xdr:colOff>
      <xdr:row>40</xdr:row>
      <xdr:rowOff>167640</xdr:rowOff>
    </xdr:to>
    <xdr:graphicFrame macro="">
      <xdr:nvGraphicFramePr>
        <xdr:cNvPr id="43" name="图表 42">
          <a:extLst>
            <a:ext uri="{FF2B5EF4-FFF2-40B4-BE49-F238E27FC236}">
              <a16:creationId xmlns:a16="http://schemas.microsoft.com/office/drawing/2014/main" id="{876F464C-3EFA-42A7-80D9-797F70978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19</xdr:col>
      <xdr:colOff>0</xdr:colOff>
      <xdr:row>35</xdr:row>
      <xdr:rowOff>152400</xdr:rowOff>
    </xdr:from>
    <xdr:to>
      <xdr:col>21</xdr:col>
      <xdr:colOff>1272540</xdr:colOff>
      <xdr:row>38</xdr:row>
      <xdr:rowOff>2266950</xdr:rowOff>
    </xdr:to>
    <xdr:graphicFrame macro="">
      <xdr:nvGraphicFramePr>
        <xdr:cNvPr id="44" name="图表 43">
          <a:extLst>
            <a:ext uri="{FF2B5EF4-FFF2-40B4-BE49-F238E27FC236}">
              <a16:creationId xmlns:a16="http://schemas.microsoft.com/office/drawing/2014/main" id="{13EDB0B4-CE5D-41A9-AE5D-8307BFC96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22</xdr:col>
      <xdr:colOff>0</xdr:colOff>
      <xdr:row>38</xdr:row>
      <xdr:rowOff>0</xdr:rowOff>
    </xdr:from>
    <xdr:to>
      <xdr:col>27</xdr:col>
      <xdr:colOff>1079500</xdr:colOff>
      <xdr:row>38</xdr:row>
      <xdr:rowOff>2266950</xdr:rowOff>
    </xdr:to>
    <xdr:graphicFrame macro="">
      <xdr:nvGraphicFramePr>
        <xdr:cNvPr id="45" name="图表 44">
          <a:extLst>
            <a:ext uri="{FF2B5EF4-FFF2-40B4-BE49-F238E27FC236}">
              <a16:creationId xmlns:a16="http://schemas.microsoft.com/office/drawing/2014/main" id="{C52D3597-A40E-43D2-BC88-835F100CB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28</xdr:col>
      <xdr:colOff>0</xdr:colOff>
      <xdr:row>38</xdr:row>
      <xdr:rowOff>0</xdr:rowOff>
    </xdr:from>
    <xdr:to>
      <xdr:col>31</xdr:col>
      <xdr:colOff>12700</xdr:colOff>
      <xdr:row>38</xdr:row>
      <xdr:rowOff>2266950</xdr:rowOff>
    </xdr:to>
    <xdr:graphicFrame macro="">
      <xdr:nvGraphicFramePr>
        <xdr:cNvPr id="46" name="图表 45">
          <a:extLst>
            <a:ext uri="{FF2B5EF4-FFF2-40B4-BE49-F238E27FC236}">
              <a16:creationId xmlns:a16="http://schemas.microsoft.com/office/drawing/2014/main" id="{EC187101-80CE-492E-ABC5-C57CD4649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31</xdr:col>
      <xdr:colOff>106680</xdr:colOff>
      <xdr:row>38</xdr:row>
      <xdr:rowOff>91440</xdr:rowOff>
    </xdr:from>
    <xdr:to>
      <xdr:col>34</xdr:col>
      <xdr:colOff>182880</xdr:colOff>
      <xdr:row>41</xdr:row>
      <xdr:rowOff>72390</xdr:rowOff>
    </xdr:to>
    <xdr:graphicFrame macro="">
      <xdr:nvGraphicFramePr>
        <xdr:cNvPr id="47" name="图表 46">
          <a:extLst>
            <a:ext uri="{FF2B5EF4-FFF2-40B4-BE49-F238E27FC236}">
              <a16:creationId xmlns:a16="http://schemas.microsoft.com/office/drawing/2014/main" id="{E3C0BC1B-4336-4044-BF77-CC63B87DB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35</xdr:col>
      <xdr:colOff>0</xdr:colOff>
      <xdr:row>38</xdr:row>
      <xdr:rowOff>0</xdr:rowOff>
    </xdr:from>
    <xdr:to>
      <xdr:col>40</xdr:col>
      <xdr:colOff>1085850</xdr:colOff>
      <xdr:row>38</xdr:row>
      <xdr:rowOff>2266950</xdr:rowOff>
    </xdr:to>
    <xdr:graphicFrame macro="">
      <xdr:nvGraphicFramePr>
        <xdr:cNvPr id="48" name="图表 47">
          <a:extLst>
            <a:ext uri="{FF2B5EF4-FFF2-40B4-BE49-F238E27FC236}">
              <a16:creationId xmlns:a16="http://schemas.microsoft.com/office/drawing/2014/main" id="{636F6085-1A3C-4CDF-B2BC-051C35DAA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40</xdr:col>
      <xdr:colOff>963706</xdr:colOff>
      <xdr:row>38</xdr:row>
      <xdr:rowOff>82177</xdr:rowOff>
    </xdr:from>
    <xdr:to>
      <xdr:col>46</xdr:col>
      <xdr:colOff>1434353</xdr:colOff>
      <xdr:row>39</xdr:row>
      <xdr:rowOff>48185</xdr:rowOff>
    </xdr:to>
    <xdr:graphicFrame macro="">
      <xdr:nvGraphicFramePr>
        <xdr:cNvPr id="49" name="图表 48">
          <a:extLst>
            <a:ext uri="{FF2B5EF4-FFF2-40B4-BE49-F238E27FC236}">
              <a16:creationId xmlns:a16="http://schemas.microsoft.com/office/drawing/2014/main" id="{A989EBEF-4FDB-4AB7-9762-1AE342F13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47</xdr:col>
      <xdr:colOff>0</xdr:colOff>
      <xdr:row>38</xdr:row>
      <xdr:rowOff>0</xdr:rowOff>
    </xdr:from>
    <xdr:to>
      <xdr:col>52</xdr:col>
      <xdr:colOff>1426882</xdr:colOff>
      <xdr:row>38</xdr:row>
      <xdr:rowOff>2266950</xdr:rowOff>
    </xdr:to>
    <xdr:graphicFrame macro="">
      <xdr:nvGraphicFramePr>
        <xdr:cNvPr id="50" name="图表 49">
          <a:extLst>
            <a:ext uri="{FF2B5EF4-FFF2-40B4-BE49-F238E27FC236}">
              <a16:creationId xmlns:a16="http://schemas.microsoft.com/office/drawing/2014/main" id="{AF531CFD-9CB2-4C8E-8D0F-F1CA6463C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53</xdr:col>
      <xdr:colOff>0</xdr:colOff>
      <xdr:row>38</xdr:row>
      <xdr:rowOff>0</xdr:rowOff>
    </xdr:from>
    <xdr:to>
      <xdr:col>57</xdr:col>
      <xdr:colOff>37353</xdr:colOff>
      <xdr:row>38</xdr:row>
      <xdr:rowOff>2266950</xdr:rowOff>
    </xdr:to>
    <xdr:graphicFrame macro="">
      <xdr:nvGraphicFramePr>
        <xdr:cNvPr id="51" name="图表 50">
          <a:extLst>
            <a:ext uri="{FF2B5EF4-FFF2-40B4-BE49-F238E27FC236}">
              <a16:creationId xmlns:a16="http://schemas.microsoft.com/office/drawing/2014/main" id="{64E3FFEF-4566-428A-8549-B5C4BB9A0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38100</xdr:colOff>
      <xdr:row>38</xdr:row>
      <xdr:rowOff>19050</xdr:rowOff>
    </xdr:from>
    <xdr:to>
      <xdr:col>9</xdr:col>
      <xdr:colOff>7471</xdr:colOff>
      <xdr:row>38</xdr:row>
      <xdr:rowOff>2278530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8DB4B68-03E1-4DB2-86DE-D8EA8B1D3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</xdr:col>
      <xdr:colOff>590176</xdr:colOff>
      <xdr:row>58</xdr:row>
      <xdr:rowOff>14196</xdr:rowOff>
    </xdr:from>
    <xdr:to>
      <xdr:col>9</xdr:col>
      <xdr:colOff>37353</xdr:colOff>
      <xdr:row>59</xdr:row>
      <xdr:rowOff>7472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B1EE138A-315A-C8D0-F61B-898F2027A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9</xdr:col>
      <xdr:colOff>0</xdr:colOff>
      <xdr:row>58</xdr:row>
      <xdr:rowOff>0</xdr:rowOff>
    </xdr:from>
    <xdr:to>
      <xdr:col>12</xdr:col>
      <xdr:colOff>0</xdr:colOff>
      <xdr:row>58</xdr:row>
      <xdr:rowOff>2555688</xdr:rowOff>
    </xdr:to>
    <xdr:graphicFrame macro="">
      <xdr:nvGraphicFramePr>
        <xdr:cNvPr id="52" name="图表 51">
          <a:extLst>
            <a:ext uri="{FF2B5EF4-FFF2-40B4-BE49-F238E27FC236}">
              <a16:creationId xmlns:a16="http://schemas.microsoft.com/office/drawing/2014/main" id="{04C944B8-98D8-4E96-8835-C7A1ACBD6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11</xdr:col>
      <xdr:colOff>1441823</xdr:colOff>
      <xdr:row>58</xdr:row>
      <xdr:rowOff>0</xdr:rowOff>
    </xdr:from>
    <xdr:to>
      <xdr:col>15</xdr:col>
      <xdr:colOff>1426881</xdr:colOff>
      <xdr:row>58</xdr:row>
      <xdr:rowOff>2555688</xdr:rowOff>
    </xdr:to>
    <xdr:graphicFrame macro="">
      <xdr:nvGraphicFramePr>
        <xdr:cNvPr id="53" name="图表 52">
          <a:extLst>
            <a:ext uri="{FF2B5EF4-FFF2-40B4-BE49-F238E27FC236}">
              <a16:creationId xmlns:a16="http://schemas.microsoft.com/office/drawing/2014/main" id="{7F8C560C-76BF-4495-8564-AD4407A91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16</xdr:col>
      <xdr:colOff>1</xdr:colOff>
      <xdr:row>58</xdr:row>
      <xdr:rowOff>0</xdr:rowOff>
    </xdr:from>
    <xdr:to>
      <xdr:col>19</xdr:col>
      <xdr:colOff>29883</xdr:colOff>
      <xdr:row>58</xdr:row>
      <xdr:rowOff>2555688</xdr:rowOff>
    </xdr:to>
    <xdr:graphicFrame macro="">
      <xdr:nvGraphicFramePr>
        <xdr:cNvPr id="54" name="图表 53">
          <a:extLst>
            <a:ext uri="{FF2B5EF4-FFF2-40B4-BE49-F238E27FC236}">
              <a16:creationId xmlns:a16="http://schemas.microsoft.com/office/drawing/2014/main" id="{62C3D11C-8BD4-40B5-9044-B8070EFB6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19</xdr:col>
      <xdr:colOff>0</xdr:colOff>
      <xdr:row>58</xdr:row>
      <xdr:rowOff>0</xdr:rowOff>
    </xdr:from>
    <xdr:to>
      <xdr:col>22</xdr:col>
      <xdr:colOff>29883</xdr:colOff>
      <xdr:row>58</xdr:row>
      <xdr:rowOff>2555688</xdr:rowOff>
    </xdr:to>
    <xdr:graphicFrame macro="">
      <xdr:nvGraphicFramePr>
        <xdr:cNvPr id="55" name="图表 54">
          <a:extLst>
            <a:ext uri="{FF2B5EF4-FFF2-40B4-BE49-F238E27FC236}">
              <a16:creationId xmlns:a16="http://schemas.microsoft.com/office/drawing/2014/main" id="{DA639855-3276-4389-B91D-F1B9D6A0B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22</xdr:col>
      <xdr:colOff>0</xdr:colOff>
      <xdr:row>58</xdr:row>
      <xdr:rowOff>0</xdr:rowOff>
    </xdr:from>
    <xdr:to>
      <xdr:col>25</xdr:col>
      <xdr:colOff>29882</xdr:colOff>
      <xdr:row>58</xdr:row>
      <xdr:rowOff>2555688</xdr:rowOff>
    </xdr:to>
    <xdr:graphicFrame macro="">
      <xdr:nvGraphicFramePr>
        <xdr:cNvPr id="56" name="图表 55">
          <a:extLst>
            <a:ext uri="{FF2B5EF4-FFF2-40B4-BE49-F238E27FC236}">
              <a16:creationId xmlns:a16="http://schemas.microsoft.com/office/drawing/2014/main" id="{0A4FB448-EAF9-495E-8E42-202C5759F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25</xdr:col>
      <xdr:colOff>0</xdr:colOff>
      <xdr:row>58</xdr:row>
      <xdr:rowOff>0</xdr:rowOff>
    </xdr:from>
    <xdr:to>
      <xdr:col>28</xdr:col>
      <xdr:colOff>29883</xdr:colOff>
      <xdr:row>58</xdr:row>
      <xdr:rowOff>2555688</xdr:rowOff>
    </xdr:to>
    <xdr:graphicFrame macro="">
      <xdr:nvGraphicFramePr>
        <xdr:cNvPr id="57" name="图表 56">
          <a:extLst>
            <a:ext uri="{FF2B5EF4-FFF2-40B4-BE49-F238E27FC236}">
              <a16:creationId xmlns:a16="http://schemas.microsoft.com/office/drawing/2014/main" id="{B1F10B03-AF9F-4CDF-9DA7-9D4E7CD67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28</xdr:col>
      <xdr:colOff>0</xdr:colOff>
      <xdr:row>58</xdr:row>
      <xdr:rowOff>0</xdr:rowOff>
    </xdr:from>
    <xdr:to>
      <xdr:col>31</xdr:col>
      <xdr:colOff>29882</xdr:colOff>
      <xdr:row>58</xdr:row>
      <xdr:rowOff>2555688</xdr:rowOff>
    </xdr:to>
    <xdr:graphicFrame macro="">
      <xdr:nvGraphicFramePr>
        <xdr:cNvPr id="58" name="图表 57">
          <a:extLst>
            <a:ext uri="{FF2B5EF4-FFF2-40B4-BE49-F238E27FC236}">
              <a16:creationId xmlns:a16="http://schemas.microsoft.com/office/drawing/2014/main" id="{73DB0910-3A84-4B63-A033-FCA404662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31</xdr:col>
      <xdr:colOff>0</xdr:colOff>
      <xdr:row>58</xdr:row>
      <xdr:rowOff>0</xdr:rowOff>
    </xdr:from>
    <xdr:to>
      <xdr:col>34</xdr:col>
      <xdr:colOff>1434353</xdr:colOff>
      <xdr:row>58</xdr:row>
      <xdr:rowOff>2555688</xdr:rowOff>
    </xdr:to>
    <xdr:graphicFrame macro="">
      <xdr:nvGraphicFramePr>
        <xdr:cNvPr id="59" name="图表 58">
          <a:extLst>
            <a:ext uri="{FF2B5EF4-FFF2-40B4-BE49-F238E27FC236}">
              <a16:creationId xmlns:a16="http://schemas.microsoft.com/office/drawing/2014/main" id="{0F6CF584-1DC4-44C5-994D-230293630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35</xdr:col>
      <xdr:colOff>0</xdr:colOff>
      <xdr:row>57</xdr:row>
      <xdr:rowOff>179293</xdr:rowOff>
    </xdr:from>
    <xdr:to>
      <xdr:col>40</xdr:col>
      <xdr:colOff>1419412</xdr:colOff>
      <xdr:row>59</xdr:row>
      <xdr:rowOff>7470</xdr:rowOff>
    </xdr:to>
    <xdr:graphicFrame macro="">
      <xdr:nvGraphicFramePr>
        <xdr:cNvPr id="60" name="图表 59">
          <a:extLst>
            <a:ext uri="{FF2B5EF4-FFF2-40B4-BE49-F238E27FC236}">
              <a16:creationId xmlns:a16="http://schemas.microsoft.com/office/drawing/2014/main" id="{16D72206-5A27-4D1D-BF7D-D114425FB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41</xdr:col>
      <xdr:colOff>0</xdr:colOff>
      <xdr:row>58</xdr:row>
      <xdr:rowOff>0</xdr:rowOff>
    </xdr:from>
    <xdr:to>
      <xdr:col>46</xdr:col>
      <xdr:colOff>1419412</xdr:colOff>
      <xdr:row>59</xdr:row>
      <xdr:rowOff>7471</xdr:rowOff>
    </xdr:to>
    <xdr:graphicFrame macro="">
      <xdr:nvGraphicFramePr>
        <xdr:cNvPr id="61" name="图表 60">
          <a:extLst>
            <a:ext uri="{FF2B5EF4-FFF2-40B4-BE49-F238E27FC236}">
              <a16:creationId xmlns:a16="http://schemas.microsoft.com/office/drawing/2014/main" id="{5A52013D-43BC-45E4-AF00-7877C0015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47</xdr:col>
      <xdr:colOff>0</xdr:colOff>
      <xdr:row>58</xdr:row>
      <xdr:rowOff>0</xdr:rowOff>
    </xdr:from>
    <xdr:to>
      <xdr:col>52</xdr:col>
      <xdr:colOff>1419412</xdr:colOff>
      <xdr:row>59</xdr:row>
      <xdr:rowOff>7471</xdr:rowOff>
    </xdr:to>
    <xdr:graphicFrame macro="">
      <xdr:nvGraphicFramePr>
        <xdr:cNvPr id="62" name="图表 61">
          <a:extLst>
            <a:ext uri="{FF2B5EF4-FFF2-40B4-BE49-F238E27FC236}">
              <a16:creationId xmlns:a16="http://schemas.microsoft.com/office/drawing/2014/main" id="{7080CD49-303B-4FB6-8745-0DCEF7903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53</xdr:col>
      <xdr:colOff>0</xdr:colOff>
      <xdr:row>58</xdr:row>
      <xdr:rowOff>0</xdr:rowOff>
    </xdr:from>
    <xdr:to>
      <xdr:col>57</xdr:col>
      <xdr:colOff>22412</xdr:colOff>
      <xdr:row>59</xdr:row>
      <xdr:rowOff>7471</xdr:rowOff>
    </xdr:to>
    <xdr:graphicFrame macro="">
      <xdr:nvGraphicFramePr>
        <xdr:cNvPr id="63" name="图表 62">
          <a:extLst>
            <a:ext uri="{FF2B5EF4-FFF2-40B4-BE49-F238E27FC236}">
              <a16:creationId xmlns:a16="http://schemas.microsoft.com/office/drawing/2014/main" id="{BC7CEE81-4E19-446F-83A9-A8981CA71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40</xdr:col>
      <xdr:colOff>963706</xdr:colOff>
      <xdr:row>58</xdr:row>
      <xdr:rowOff>82177</xdr:rowOff>
    </xdr:from>
    <xdr:to>
      <xdr:col>46</xdr:col>
      <xdr:colOff>1434353</xdr:colOff>
      <xdr:row>59</xdr:row>
      <xdr:rowOff>48185</xdr:rowOff>
    </xdr:to>
    <xdr:graphicFrame macro="">
      <xdr:nvGraphicFramePr>
        <xdr:cNvPr id="64" name="图表 63">
          <a:extLst>
            <a:ext uri="{FF2B5EF4-FFF2-40B4-BE49-F238E27FC236}">
              <a16:creationId xmlns:a16="http://schemas.microsoft.com/office/drawing/2014/main" id="{426F2F9C-0460-4DC4-9F36-1128D57E8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5</xdr:col>
      <xdr:colOff>14941</xdr:colOff>
      <xdr:row>77</xdr:row>
      <xdr:rowOff>178547</xdr:rowOff>
    </xdr:from>
    <xdr:to>
      <xdr:col>8</xdr:col>
      <xdr:colOff>1419412</xdr:colOff>
      <xdr:row>79</xdr:row>
      <xdr:rowOff>0</xdr:rowOff>
    </xdr:to>
    <xdr:graphicFrame macro="">
      <xdr:nvGraphicFramePr>
        <xdr:cNvPr id="66" name="图表 65">
          <a:extLst>
            <a:ext uri="{FF2B5EF4-FFF2-40B4-BE49-F238E27FC236}">
              <a16:creationId xmlns:a16="http://schemas.microsoft.com/office/drawing/2014/main" id="{F9E0E68B-AEE4-1DC3-0B5A-A097021EE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9</xdr:col>
      <xdr:colOff>0</xdr:colOff>
      <xdr:row>78</xdr:row>
      <xdr:rowOff>0</xdr:rowOff>
    </xdr:from>
    <xdr:to>
      <xdr:col>12</xdr:col>
      <xdr:colOff>0</xdr:colOff>
      <xdr:row>79</xdr:row>
      <xdr:rowOff>0</xdr:rowOff>
    </xdr:to>
    <xdr:graphicFrame macro="">
      <xdr:nvGraphicFramePr>
        <xdr:cNvPr id="67" name="图表 66">
          <a:extLst>
            <a:ext uri="{FF2B5EF4-FFF2-40B4-BE49-F238E27FC236}">
              <a16:creationId xmlns:a16="http://schemas.microsoft.com/office/drawing/2014/main" id="{E1D4C5AC-2EC5-4C78-B2DB-E53918C8E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12</xdr:col>
      <xdr:colOff>0</xdr:colOff>
      <xdr:row>78</xdr:row>
      <xdr:rowOff>0</xdr:rowOff>
    </xdr:from>
    <xdr:to>
      <xdr:col>15</xdr:col>
      <xdr:colOff>1419411</xdr:colOff>
      <xdr:row>79</xdr:row>
      <xdr:rowOff>0</xdr:rowOff>
    </xdr:to>
    <xdr:graphicFrame macro="">
      <xdr:nvGraphicFramePr>
        <xdr:cNvPr id="68" name="图表 67">
          <a:extLst>
            <a:ext uri="{FF2B5EF4-FFF2-40B4-BE49-F238E27FC236}">
              <a16:creationId xmlns:a16="http://schemas.microsoft.com/office/drawing/2014/main" id="{D08C89D5-3FFD-49C6-A90D-13BECF1A4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16</xdr:col>
      <xdr:colOff>0</xdr:colOff>
      <xdr:row>78</xdr:row>
      <xdr:rowOff>0</xdr:rowOff>
    </xdr:from>
    <xdr:to>
      <xdr:col>19</xdr:col>
      <xdr:colOff>14941</xdr:colOff>
      <xdr:row>79</xdr:row>
      <xdr:rowOff>0</xdr:rowOff>
    </xdr:to>
    <xdr:graphicFrame macro="">
      <xdr:nvGraphicFramePr>
        <xdr:cNvPr id="69" name="图表 68">
          <a:extLst>
            <a:ext uri="{FF2B5EF4-FFF2-40B4-BE49-F238E27FC236}">
              <a16:creationId xmlns:a16="http://schemas.microsoft.com/office/drawing/2014/main" id="{87EFC221-3C9A-4ED6-BDC7-217A1A952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19</xdr:col>
      <xdr:colOff>0</xdr:colOff>
      <xdr:row>78</xdr:row>
      <xdr:rowOff>0</xdr:rowOff>
    </xdr:from>
    <xdr:to>
      <xdr:col>22</xdr:col>
      <xdr:colOff>14942</xdr:colOff>
      <xdr:row>79</xdr:row>
      <xdr:rowOff>0</xdr:rowOff>
    </xdr:to>
    <xdr:graphicFrame macro="">
      <xdr:nvGraphicFramePr>
        <xdr:cNvPr id="70" name="图表 69">
          <a:extLst>
            <a:ext uri="{FF2B5EF4-FFF2-40B4-BE49-F238E27FC236}">
              <a16:creationId xmlns:a16="http://schemas.microsoft.com/office/drawing/2014/main" id="{DE087224-6495-4FF2-A0ED-A6722E563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21</xdr:col>
      <xdr:colOff>1441822</xdr:colOff>
      <xdr:row>78</xdr:row>
      <xdr:rowOff>0</xdr:rowOff>
    </xdr:from>
    <xdr:to>
      <xdr:col>27</xdr:col>
      <xdr:colOff>1426882</xdr:colOff>
      <xdr:row>79</xdr:row>
      <xdr:rowOff>0</xdr:rowOff>
    </xdr:to>
    <xdr:graphicFrame macro="">
      <xdr:nvGraphicFramePr>
        <xdr:cNvPr id="71" name="图表 70">
          <a:extLst>
            <a:ext uri="{FF2B5EF4-FFF2-40B4-BE49-F238E27FC236}">
              <a16:creationId xmlns:a16="http://schemas.microsoft.com/office/drawing/2014/main" id="{7E8FECF4-1FDB-4F03-96E4-B1C9A4620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28</xdr:col>
      <xdr:colOff>7470</xdr:colOff>
      <xdr:row>78</xdr:row>
      <xdr:rowOff>0</xdr:rowOff>
    </xdr:from>
    <xdr:to>
      <xdr:col>31</xdr:col>
      <xdr:colOff>22412</xdr:colOff>
      <xdr:row>79</xdr:row>
      <xdr:rowOff>0</xdr:rowOff>
    </xdr:to>
    <xdr:graphicFrame macro="">
      <xdr:nvGraphicFramePr>
        <xdr:cNvPr id="72" name="图表 71">
          <a:extLst>
            <a:ext uri="{FF2B5EF4-FFF2-40B4-BE49-F238E27FC236}">
              <a16:creationId xmlns:a16="http://schemas.microsoft.com/office/drawing/2014/main" id="{0B6CB5FE-1456-43F6-BC00-E55BB73F8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31</xdr:col>
      <xdr:colOff>0</xdr:colOff>
      <xdr:row>78</xdr:row>
      <xdr:rowOff>0</xdr:rowOff>
    </xdr:from>
    <xdr:to>
      <xdr:col>35</xdr:col>
      <xdr:colOff>7471</xdr:colOff>
      <xdr:row>79</xdr:row>
      <xdr:rowOff>0</xdr:rowOff>
    </xdr:to>
    <xdr:graphicFrame macro="">
      <xdr:nvGraphicFramePr>
        <xdr:cNvPr id="73" name="图表 72">
          <a:extLst>
            <a:ext uri="{FF2B5EF4-FFF2-40B4-BE49-F238E27FC236}">
              <a16:creationId xmlns:a16="http://schemas.microsoft.com/office/drawing/2014/main" id="{AADBBB4C-DF97-407F-BE45-1A9933524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35</xdr:col>
      <xdr:colOff>0</xdr:colOff>
      <xdr:row>78</xdr:row>
      <xdr:rowOff>0</xdr:rowOff>
    </xdr:from>
    <xdr:to>
      <xdr:col>40</xdr:col>
      <xdr:colOff>1434353</xdr:colOff>
      <xdr:row>79</xdr:row>
      <xdr:rowOff>0</xdr:rowOff>
    </xdr:to>
    <xdr:graphicFrame macro="">
      <xdr:nvGraphicFramePr>
        <xdr:cNvPr id="74" name="图表 73">
          <a:extLst>
            <a:ext uri="{FF2B5EF4-FFF2-40B4-BE49-F238E27FC236}">
              <a16:creationId xmlns:a16="http://schemas.microsoft.com/office/drawing/2014/main" id="{C3B2D915-3A5A-4263-A33C-C33026334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41</xdr:col>
      <xdr:colOff>0</xdr:colOff>
      <xdr:row>78</xdr:row>
      <xdr:rowOff>0</xdr:rowOff>
    </xdr:from>
    <xdr:to>
      <xdr:col>46</xdr:col>
      <xdr:colOff>1434353</xdr:colOff>
      <xdr:row>79</xdr:row>
      <xdr:rowOff>0</xdr:rowOff>
    </xdr:to>
    <xdr:graphicFrame macro="">
      <xdr:nvGraphicFramePr>
        <xdr:cNvPr id="75" name="图表 74">
          <a:extLst>
            <a:ext uri="{FF2B5EF4-FFF2-40B4-BE49-F238E27FC236}">
              <a16:creationId xmlns:a16="http://schemas.microsoft.com/office/drawing/2014/main" id="{2B4669AA-2F10-40B9-AEDB-00242C358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47</xdr:col>
      <xdr:colOff>0</xdr:colOff>
      <xdr:row>78</xdr:row>
      <xdr:rowOff>0</xdr:rowOff>
    </xdr:from>
    <xdr:to>
      <xdr:col>52</xdr:col>
      <xdr:colOff>1434353</xdr:colOff>
      <xdr:row>79</xdr:row>
      <xdr:rowOff>0</xdr:rowOff>
    </xdr:to>
    <xdr:graphicFrame macro="">
      <xdr:nvGraphicFramePr>
        <xdr:cNvPr id="76" name="图表 75">
          <a:extLst>
            <a:ext uri="{FF2B5EF4-FFF2-40B4-BE49-F238E27FC236}">
              <a16:creationId xmlns:a16="http://schemas.microsoft.com/office/drawing/2014/main" id="{A091F3DE-D584-4A2F-9C2C-BA4B6E84F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53</xdr:col>
      <xdr:colOff>1</xdr:colOff>
      <xdr:row>78</xdr:row>
      <xdr:rowOff>0</xdr:rowOff>
    </xdr:from>
    <xdr:to>
      <xdr:col>57</xdr:col>
      <xdr:colOff>1</xdr:colOff>
      <xdr:row>79</xdr:row>
      <xdr:rowOff>0</xdr:rowOff>
    </xdr:to>
    <xdr:graphicFrame macro="">
      <xdr:nvGraphicFramePr>
        <xdr:cNvPr id="77" name="图表 76">
          <a:extLst>
            <a:ext uri="{FF2B5EF4-FFF2-40B4-BE49-F238E27FC236}">
              <a16:creationId xmlns:a16="http://schemas.microsoft.com/office/drawing/2014/main" id="{BEBA085A-841C-4929-8575-78DE7AD73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4</xdr:col>
      <xdr:colOff>590176</xdr:colOff>
      <xdr:row>78</xdr:row>
      <xdr:rowOff>14196</xdr:rowOff>
    </xdr:from>
    <xdr:to>
      <xdr:col>9</xdr:col>
      <xdr:colOff>37353</xdr:colOff>
      <xdr:row>79</xdr:row>
      <xdr:rowOff>0</xdr:rowOff>
    </xdr:to>
    <xdr:graphicFrame macro="">
      <xdr:nvGraphicFramePr>
        <xdr:cNvPr id="78" name="图表 77">
          <a:extLst>
            <a:ext uri="{FF2B5EF4-FFF2-40B4-BE49-F238E27FC236}">
              <a16:creationId xmlns:a16="http://schemas.microsoft.com/office/drawing/2014/main" id="{9CDB9944-6BE2-49FF-8FA2-0C279EBD0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41</xdr:col>
      <xdr:colOff>0</xdr:colOff>
      <xdr:row>78</xdr:row>
      <xdr:rowOff>0</xdr:rowOff>
    </xdr:from>
    <xdr:to>
      <xdr:col>46</xdr:col>
      <xdr:colOff>1419412</xdr:colOff>
      <xdr:row>79</xdr:row>
      <xdr:rowOff>0</xdr:rowOff>
    </xdr:to>
    <xdr:graphicFrame macro="">
      <xdr:nvGraphicFramePr>
        <xdr:cNvPr id="79" name="图表 78">
          <a:extLst>
            <a:ext uri="{FF2B5EF4-FFF2-40B4-BE49-F238E27FC236}">
              <a16:creationId xmlns:a16="http://schemas.microsoft.com/office/drawing/2014/main" id="{932F8606-EDAC-48DE-A9B2-15C757E6D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47</xdr:col>
      <xdr:colOff>0</xdr:colOff>
      <xdr:row>78</xdr:row>
      <xdr:rowOff>0</xdr:rowOff>
    </xdr:from>
    <xdr:to>
      <xdr:col>52</xdr:col>
      <xdr:colOff>1419412</xdr:colOff>
      <xdr:row>79</xdr:row>
      <xdr:rowOff>0</xdr:rowOff>
    </xdr:to>
    <xdr:graphicFrame macro="">
      <xdr:nvGraphicFramePr>
        <xdr:cNvPr id="80" name="图表 79">
          <a:extLst>
            <a:ext uri="{FF2B5EF4-FFF2-40B4-BE49-F238E27FC236}">
              <a16:creationId xmlns:a16="http://schemas.microsoft.com/office/drawing/2014/main" id="{AB6C1C3F-9CE6-46A1-85A2-7DD152D5F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53</xdr:col>
      <xdr:colOff>0</xdr:colOff>
      <xdr:row>78</xdr:row>
      <xdr:rowOff>0</xdr:rowOff>
    </xdr:from>
    <xdr:to>
      <xdr:col>57</xdr:col>
      <xdr:colOff>22412</xdr:colOff>
      <xdr:row>79</xdr:row>
      <xdr:rowOff>0</xdr:rowOff>
    </xdr:to>
    <xdr:graphicFrame macro="">
      <xdr:nvGraphicFramePr>
        <xdr:cNvPr id="81" name="图表 80">
          <a:extLst>
            <a:ext uri="{FF2B5EF4-FFF2-40B4-BE49-F238E27FC236}">
              <a16:creationId xmlns:a16="http://schemas.microsoft.com/office/drawing/2014/main" id="{4FBE1464-82E4-4E27-BD9D-7E1FBA8AB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40</xdr:col>
      <xdr:colOff>963706</xdr:colOff>
      <xdr:row>78</xdr:row>
      <xdr:rowOff>82177</xdr:rowOff>
    </xdr:from>
    <xdr:to>
      <xdr:col>46</xdr:col>
      <xdr:colOff>1434353</xdr:colOff>
      <xdr:row>79</xdr:row>
      <xdr:rowOff>0</xdr:rowOff>
    </xdr:to>
    <xdr:graphicFrame macro="">
      <xdr:nvGraphicFramePr>
        <xdr:cNvPr id="82" name="图表 81">
          <a:extLst>
            <a:ext uri="{FF2B5EF4-FFF2-40B4-BE49-F238E27FC236}">
              <a16:creationId xmlns:a16="http://schemas.microsoft.com/office/drawing/2014/main" id="{8B3D47F0-1978-4455-9A4C-7504BFD69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0</xdr:col>
      <xdr:colOff>67236</xdr:colOff>
      <xdr:row>11</xdr:row>
      <xdr:rowOff>179293</xdr:rowOff>
    </xdr:from>
    <xdr:to>
      <xdr:col>5</xdr:col>
      <xdr:colOff>1488142</xdr:colOff>
      <xdr:row>14</xdr:row>
      <xdr:rowOff>2160494</xdr:rowOff>
    </xdr:to>
    <xdr:graphicFrame macro="">
      <xdr:nvGraphicFramePr>
        <xdr:cNvPr id="83" name="图表 82">
          <a:extLst>
            <a:ext uri="{FF2B5EF4-FFF2-40B4-BE49-F238E27FC236}">
              <a16:creationId xmlns:a16="http://schemas.microsoft.com/office/drawing/2014/main" id="{24716304-E516-4C63-9652-6FFA07E9C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5</xdr:col>
      <xdr:colOff>1420906</xdr:colOff>
      <xdr:row>26</xdr:row>
      <xdr:rowOff>1801906</xdr:rowOff>
    </xdr:to>
    <xdr:graphicFrame macro="">
      <xdr:nvGraphicFramePr>
        <xdr:cNvPr id="96" name="图表 95">
          <a:extLst>
            <a:ext uri="{FF2B5EF4-FFF2-40B4-BE49-F238E27FC236}">
              <a16:creationId xmlns:a16="http://schemas.microsoft.com/office/drawing/2014/main" id="{5C46EE80-F53F-412F-9E6E-C7EAFDF8F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0</xdr:col>
      <xdr:colOff>129540</xdr:colOff>
      <xdr:row>34</xdr:row>
      <xdr:rowOff>29135</xdr:rowOff>
    </xdr:from>
    <xdr:to>
      <xdr:col>5</xdr:col>
      <xdr:colOff>1550446</xdr:colOff>
      <xdr:row>38</xdr:row>
      <xdr:rowOff>1834628</xdr:rowOff>
    </xdr:to>
    <xdr:graphicFrame macro="">
      <xdr:nvGraphicFramePr>
        <xdr:cNvPr id="97" name="图表 96">
          <a:extLst>
            <a:ext uri="{FF2B5EF4-FFF2-40B4-BE49-F238E27FC236}">
              <a16:creationId xmlns:a16="http://schemas.microsoft.com/office/drawing/2014/main" id="{582D98F4-9966-406F-8402-A2C250B16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31</xdr:col>
      <xdr:colOff>68580</xdr:colOff>
      <xdr:row>42</xdr:row>
      <xdr:rowOff>160020</xdr:rowOff>
    </xdr:from>
    <xdr:to>
      <xdr:col>34</xdr:col>
      <xdr:colOff>91440</xdr:colOff>
      <xdr:row>58</xdr:row>
      <xdr:rowOff>30480</xdr:rowOff>
    </xdr:to>
    <xdr:graphicFrame macro="">
      <xdr:nvGraphicFramePr>
        <xdr:cNvPr id="99" name="图表 98">
          <a:extLst>
            <a:ext uri="{FF2B5EF4-FFF2-40B4-BE49-F238E27FC236}">
              <a16:creationId xmlns:a16="http://schemas.microsoft.com/office/drawing/2014/main" id="{BD1CA646-F34F-4EDE-8B6B-4D81CE56B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40</xdr:col>
      <xdr:colOff>1744980</xdr:colOff>
      <xdr:row>26</xdr:row>
      <xdr:rowOff>2346960</xdr:rowOff>
    </xdr:from>
    <xdr:to>
      <xdr:col>43</xdr:col>
      <xdr:colOff>1097280</xdr:colOff>
      <xdr:row>38</xdr:row>
      <xdr:rowOff>124460</xdr:rowOff>
    </xdr:to>
    <xdr:graphicFrame macro="">
      <xdr:nvGraphicFramePr>
        <xdr:cNvPr id="101" name="图表 100">
          <a:extLst>
            <a:ext uri="{FF2B5EF4-FFF2-40B4-BE49-F238E27FC236}">
              <a16:creationId xmlns:a16="http://schemas.microsoft.com/office/drawing/2014/main" id="{DA374474-DC9A-4AB7-93D8-2A503AC4A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43</xdr:col>
      <xdr:colOff>1196341</xdr:colOff>
      <xdr:row>26</xdr:row>
      <xdr:rowOff>2354580</xdr:rowOff>
    </xdr:from>
    <xdr:to>
      <xdr:col>46</xdr:col>
      <xdr:colOff>594361</xdr:colOff>
      <xdr:row>38</xdr:row>
      <xdr:rowOff>121920</xdr:rowOff>
    </xdr:to>
    <xdr:graphicFrame macro="">
      <xdr:nvGraphicFramePr>
        <xdr:cNvPr id="102" name="图表 101">
          <a:extLst>
            <a:ext uri="{FF2B5EF4-FFF2-40B4-BE49-F238E27FC236}">
              <a16:creationId xmlns:a16="http://schemas.microsoft.com/office/drawing/2014/main" id="{07D3ABD8-4974-4F88-B88D-00B0DCB15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BAEB-ABBA-4929-A5DC-9E9218B4A419}">
  <dimension ref="A1:BE79"/>
  <sheetViews>
    <sheetView tabSelected="1" zoomScaleNormal="100" workbookViewId="0">
      <pane ySplit="1" topLeftCell="A2" activePane="bottomLeft" state="frozen"/>
      <selection pane="bottomLeft" activeCell="H4" sqref="H4"/>
    </sheetView>
  </sheetViews>
  <sheetFormatPr defaultColWidth="15.5546875" defaultRowHeight="14.4" x14ac:dyDescent="0.25"/>
  <cols>
    <col min="1" max="5" width="8.5546875" customWidth="1"/>
    <col min="6" max="57" width="25.5546875" customWidth="1"/>
  </cols>
  <sheetData>
    <row r="1" spans="1:57" s="11" customFormat="1" ht="60" customHeight="1" x14ac:dyDescent="0.25">
      <c r="F1" s="16" t="s">
        <v>60</v>
      </c>
      <c r="G1" s="16"/>
      <c r="H1" s="16"/>
      <c r="I1" s="16"/>
      <c r="J1" s="16" t="s">
        <v>68</v>
      </c>
      <c r="K1" s="16"/>
      <c r="L1" s="16"/>
      <c r="M1" s="16" t="s">
        <v>44</v>
      </c>
      <c r="N1" s="16"/>
      <c r="O1" s="16"/>
      <c r="P1" s="16"/>
      <c r="Q1" s="16" t="s">
        <v>45</v>
      </c>
      <c r="R1" s="16"/>
      <c r="S1" s="16"/>
      <c r="T1" s="16" t="s">
        <v>46</v>
      </c>
      <c r="U1" s="16"/>
      <c r="V1" s="16"/>
      <c r="W1" s="16" t="s">
        <v>47</v>
      </c>
      <c r="X1" s="16"/>
      <c r="Y1" s="16"/>
      <c r="Z1" s="16"/>
      <c r="AA1" s="16"/>
      <c r="AB1" s="16"/>
      <c r="AC1" s="16" t="s">
        <v>48</v>
      </c>
      <c r="AD1" s="16"/>
      <c r="AE1" s="16"/>
      <c r="AF1" s="16" t="s">
        <v>49</v>
      </c>
      <c r="AG1" s="16"/>
      <c r="AH1" s="16"/>
      <c r="AI1" s="16"/>
      <c r="AJ1" s="16" t="s">
        <v>50</v>
      </c>
      <c r="AK1" s="16"/>
      <c r="AL1" s="16"/>
      <c r="AM1" s="16"/>
      <c r="AN1" s="16"/>
      <c r="AO1" s="16"/>
      <c r="AP1" s="16" t="s">
        <v>51</v>
      </c>
      <c r="AQ1" s="16"/>
      <c r="AR1" s="16"/>
      <c r="AS1" s="16"/>
      <c r="AT1" s="16"/>
      <c r="AU1" s="16"/>
      <c r="AV1" s="16" t="s">
        <v>52</v>
      </c>
      <c r="AW1" s="16"/>
      <c r="AX1" s="16"/>
      <c r="AY1" s="16"/>
      <c r="AZ1" s="16"/>
      <c r="BA1" s="16"/>
      <c r="BB1" s="16" t="s">
        <v>53</v>
      </c>
      <c r="BC1" s="16"/>
      <c r="BD1" s="16"/>
      <c r="BE1" s="16"/>
    </row>
    <row r="2" spans="1:57" s="3" customFormat="1" ht="17.399999999999999" x14ac:dyDescent="0.25">
      <c r="A2" s="6" t="s">
        <v>87</v>
      </c>
      <c r="B2" s="6"/>
      <c r="C2" s="6"/>
      <c r="F2" s="7"/>
      <c r="G2" s="7"/>
      <c r="H2" s="7"/>
      <c r="I2" s="7"/>
      <c r="J2" s="5"/>
    </row>
    <row r="3" spans="1:57" ht="17.399999999999999" x14ac:dyDescent="0.25">
      <c r="A3" s="12"/>
      <c r="B3" s="12"/>
      <c r="C3" s="12"/>
      <c r="F3" s="1" t="s">
        <v>75</v>
      </c>
      <c r="G3" s="1" t="s">
        <v>76</v>
      </c>
      <c r="H3" s="1" t="s">
        <v>77</v>
      </c>
      <c r="I3" s="1" t="s">
        <v>78</v>
      </c>
      <c r="J3" s="2" t="s">
        <v>1</v>
      </c>
      <c r="K3" t="s">
        <v>34</v>
      </c>
      <c r="L3" t="s">
        <v>43</v>
      </c>
      <c r="M3" t="s">
        <v>27</v>
      </c>
      <c r="N3" t="s">
        <v>2</v>
      </c>
      <c r="O3" t="s">
        <v>28</v>
      </c>
      <c r="P3" t="s">
        <v>17</v>
      </c>
      <c r="Q3" t="s">
        <v>3</v>
      </c>
      <c r="R3" t="s">
        <v>29</v>
      </c>
      <c r="S3" t="s">
        <v>41</v>
      </c>
      <c r="T3" t="s">
        <v>4</v>
      </c>
      <c r="U3" t="s">
        <v>18</v>
      </c>
      <c r="V3" t="s">
        <v>21</v>
      </c>
      <c r="W3" t="s">
        <v>5</v>
      </c>
      <c r="X3" t="s">
        <v>6</v>
      </c>
      <c r="Y3" t="s">
        <v>7</v>
      </c>
      <c r="Z3" t="s">
        <v>8</v>
      </c>
      <c r="AA3" t="s">
        <v>30</v>
      </c>
      <c r="AB3" t="s">
        <v>79</v>
      </c>
      <c r="AC3" t="s">
        <v>9</v>
      </c>
      <c r="AD3" t="s">
        <v>22</v>
      </c>
      <c r="AE3" t="s">
        <v>36</v>
      </c>
      <c r="AF3" t="s">
        <v>86</v>
      </c>
      <c r="AG3" t="s">
        <v>10</v>
      </c>
      <c r="AH3" t="s">
        <v>39</v>
      </c>
      <c r="AI3" t="s">
        <v>23</v>
      </c>
      <c r="AJ3" t="s">
        <v>11</v>
      </c>
      <c r="AK3" t="s">
        <v>12</v>
      </c>
      <c r="AL3" t="s">
        <v>37</v>
      </c>
      <c r="AM3" t="s">
        <v>31</v>
      </c>
      <c r="AN3" t="s">
        <v>38</v>
      </c>
      <c r="AO3" t="s">
        <v>80</v>
      </c>
      <c r="AP3" t="s">
        <v>85</v>
      </c>
      <c r="AQ3" t="s">
        <v>19</v>
      </c>
      <c r="AR3" t="s">
        <v>32</v>
      </c>
      <c r="AS3" t="s">
        <v>13</v>
      </c>
      <c r="AT3" t="s">
        <v>81</v>
      </c>
      <c r="AU3" t="s">
        <v>82</v>
      </c>
      <c r="AV3" t="s">
        <v>24</v>
      </c>
      <c r="AW3" t="s">
        <v>35</v>
      </c>
      <c r="AX3" t="s">
        <v>14</v>
      </c>
      <c r="AY3" t="s">
        <v>25</v>
      </c>
      <c r="AZ3" t="s">
        <v>83</v>
      </c>
      <c r="BA3" t="s">
        <v>84</v>
      </c>
      <c r="BB3" t="s">
        <v>40</v>
      </c>
      <c r="BC3" t="s">
        <v>33</v>
      </c>
      <c r="BD3" t="s">
        <v>15</v>
      </c>
      <c r="BE3" t="s">
        <v>26</v>
      </c>
    </row>
    <row r="4" spans="1:57" x14ac:dyDescent="0.25">
      <c r="A4" s="10" t="s">
        <v>88</v>
      </c>
      <c r="B4" s="8">
        <f>SUM(F4:I4)</f>
        <v>5421</v>
      </c>
      <c r="C4" s="2"/>
      <c r="D4" s="2" t="s">
        <v>91</v>
      </c>
      <c r="F4" s="1">
        <v>1452</v>
      </c>
      <c r="G4" s="1">
        <v>2472</v>
      </c>
      <c r="H4" s="1">
        <v>873</v>
      </c>
      <c r="I4" s="1">
        <v>624</v>
      </c>
      <c r="J4" s="1">
        <v>2622</v>
      </c>
      <c r="K4" s="1">
        <v>2486</v>
      </c>
      <c r="L4" s="1">
        <v>313</v>
      </c>
      <c r="M4" s="1">
        <v>2325</v>
      </c>
      <c r="N4" s="1">
        <v>4010</v>
      </c>
      <c r="O4" s="1">
        <v>1990</v>
      </c>
      <c r="P4" s="1">
        <v>1134</v>
      </c>
      <c r="Q4" s="1">
        <v>3071</v>
      </c>
      <c r="R4" s="1">
        <v>1887</v>
      </c>
      <c r="S4" s="1">
        <v>463</v>
      </c>
      <c r="T4" s="1">
        <v>1828</v>
      </c>
      <c r="U4" s="1">
        <v>2362</v>
      </c>
      <c r="V4" s="1">
        <v>1231</v>
      </c>
      <c r="W4" s="1">
        <v>2524</v>
      </c>
      <c r="X4" s="1">
        <v>3357</v>
      </c>
      <c r="Y4" s="1">
        <v>2454</v>
      </c>
      <c r="Z4" s="1">
        <v>832</v>
      </c>
      <c r="AA4" s="1">
        <v>1511</v>
      </c>
      <c r="AB4" s="1">
        <v>244</v>
      </c>
      <c r="AC4" s="1">
        <v>2302</v>
      </c>
      <c r="AD4" s="1">
        <v>2527</v>
      </c>
      <c r="AE4" s="1">
        <v>590</v>
      </c>
      <c r="AF4" s="1">
        <v>1098</v>
      </c>
      <c r="AG4" s="1">
        <v>2108</v>
      </c>
      <c r="AH4" s="1">
        <v>1422</v>
      </c>
      <c r="AI4" s="1">
        <v>568</v>
      </c>
      <c r="AJ4" s="1">
        <v>3628</v>
      </c>
      <c r="AK4" s="1">
        <v>1245</v>
      </c>
      <c r="AL4" s="1">
        <v>841</v>
      </c>
      <c r="AM4" s="1">
        <v>1602</v>
      </c>
      <c r="AN4" s="1">
        <v>353</v>
      </c>
      <c r="AO4" s="1">
        <v>359</v>
      </c>
      <c r="AP4" s="1">
        <v>815</v>
      </c>
      <c r="AQ4" s="1">
        <v>2164</v>
      </c>
      <c r="AR4" s="1">
        <v>1254</v>
      </c>
      <c r="AS4" s="1">
        <v>2791</v>
      </c>
      <c r="AT4" s="1">
        <v>759</v>
      </c>
      <c r="AU4" s="1">
        <v>186</v>
      </c>
      <c r="AV4" s="1">
        <v>2116</v>
      </c>
      <c r="AW4" s="1">
        <v>1732</v>
      </c>
      <c r="AX4" s="1">
        <v>2263</v>
      </c>
      <c r="AY4" s="1">
        <v>1872</v>
      </c>
      <c r="AZ4" s="1">
        <v>772</v>
      </c>
      <c r="BA4" s="1">
        <v>381</v>
      </c>
      <c r="BB4" s="1">
        <v>1438</v>
      </c>
      <c r="BC4" s="1">
        <v>1702</v>
      </c>
      <c r="BD4" s="1">
        <v>1411</v>
      </c>
      <c r="BE4" s="1">
        <v>870</v>
      </c>
    </row>
    <row r="5" spans="1:57" s="4" customFormat="1" x14ac:dyDescent="0.25">
      <c r="F5" s="9">
        <f t="shared" ref="F5:AK5" si="0">F4/$B$4</f>
        <v>0.26784726065301606</v>
      </c>
      <c r="G5" s="9">
        <f t="shared" si="0"/>
        <v>0.45600442722744883</v>
      </c>
      <c r="H5" s="9">
        <f t="shared" si="0"/>
        <v>0.16104039845047038</v>
      </c>
      <c r="I5" s="9">
        <f t="shared" si="0"/>
        <v>0.11510791366906475</v>
      </c>
      <c r="J5" s="9">
        <f t="shared" si="0"/>
        <v>0.48367459878251245</v>
      </c>
      <c r="K5" s="9">
        <f t="shared" si="0"/>
        <v>0.45858697657258807</v>
      </c>
      <c r="L5" s="9">
        <f t="shared" si="0"/>
        <v>5.7738424644899464E-2</v>
      </c>
      <c r="M5" s="9">
        <f t="shared" si="0"/>
        <v>0.42888765910348642</v>
      </c>
      <c r="N5" s="9">
        <f t="shared" si="0"/>
        <v>0.73971591957203464</v>
      </c>
      <c r="O5" s="9">
        <f t="shared" si="0"/>
        <v>0.36709094263051095</v>
      </c>
      <c r="P5" s="9">
        <f t="shared" si="0"/>
        <v>0.20918649695628114</v>
      </c>
      <c r="Q5" s="9">
        <f t="shared" si="0"/>
        <v>0.56650064563733626</v>
      </c>
      <c r="R5" s="9">
        <f t="shared" si="0"/>
        <v>0.34809075816270063</v>
      </c>
      <c r="S5" s="9">
        <f t="shared" si="0"/>
        <v>8.5408596199963105E-2</v>
      </c>
      <c r="T5" s="9">
        <f t="shared" si="0"/>
        <v>0.33720715735104223</v>
      </c>
      <c r="U5" s="9">
        <f t="shared" si="0"/>
        <v>0.43571296808706883</v>
      </c>
      <c r="V5" s="9">
        <f t="shared" si="0"/>
        <v>0.22707987456188894</v>
      </c>
      <c r="W5" s="9">
        <f t="shared" si="0"/>
        <v>0.46559675336653755</v>
      </c>
      <c r="X5" s="9">
        <f t="shared" si="0"/>
        <v>0.61925843940232428</v>
      </c>
      <c r="Y5" s="9">
        <f t="shared" si="0"/>
        <v>0.45268400664084119</v>
      </c>
      <c r="Z5" s="9">
        <f t="shared" si="0"/>
        <v>0.15347721822541965</v>
      </c>
      <c r="AA5" s="9">
        <f t="shared" si="0"/>
        <v>0.27873086146467441</v>
      </c>
      <c r="AB5" s="9">
        <f t="shared" si="0"/>
        <v>4.501014572957019E-2</v>
      </c>
      <c r="AC5" s="9">
        <f t="shared" si="0"/>
        <v>0.42464489946504336</v>
      </c>
      <c r="AD5" s="9">
        <f t="shared" si="0"/>
        <v>0.46615015679763883</v>
      </c>
      <c r="AE5" s="9">
        <f t="shared" si="0"/>
        <v>0.10883600811658366</v>
      </c>
      <c r="AF5" s="9">
        <f t="shared" si="0"/>
        <v>0.20254565578306585</v>
      </c>
      <c r="AG5" s="9">
        <f t="shared" si="0"/>
        <v>0.3888581442538277</v>
      </c>
      <c r="AH5" s="9">
        <f t="shared" si="0"/>
        <v>0.26231322634200332</v>
      </c>
      <c r="AI5" s="9">
        <f t="shared" si="0"/>
        <v>0.10477771628850766</v>
      </c>
      <c r="AJ5" s="9">
        <f t="shared" si="0"/>
        <v>0.66924921601180598</v>
      </c>
      <c r="AK5" s="9">
        <f t="shared" si="0"/>
        <v>0.22966242390702823</v>
      </c>
      <c r="AL5" s="9">
        <f t="shared" ref="AL5:BE5" si="1">AL4/$B$4</f>
        <v>0.15513742851872347</v>
      </c>
      <c r="AM5" s="9">
        <f t="shared" si="1"/>
        <v>0.29551743220807969</v>
      </c>
      <c r="AN5" s="9">
        <f t="shared" si="1"/>
        <v>6.5117137059583108E-2</v>
      </c>
      <c r="AO5" s="9">
        <f t="shared" si="1"/>
        <v>6.6223943921785655E-2</v>
      </c>
      <c r="AP5" s="9">
        <f t="shared" si="1"/>
        <v>0.15034126544917911</v>
      </c>
      <c r="AQ5" s="9">
        <f t="shared" si="1"/>
        <v>0.39918834163438482</v>
      </c>
      <c r="AR5" s="9">
        <f t="shared" si="1"/>
        <v>0.23132263420033206</v>
      </c>
      <c r="AS5" s="9">
        <f t="shared" si="1"/>
        <v>0.5148496587345508</v>
      </c>
      <c r="AT5" s="9">
        <f t="shared" si="1"/>
        <v>0.14001106806862201</v>
      </c>
      <c r="AU5" s="9">
        <f t="shared" si="1"/>
        <v>3.4311012728278918E-2</v>
      </c>
      <c r="AV5" s="9">
        <f t="shared" si="1"/>
        <v>0.39033388673676445</v>
      </c>
      <c r="AW5" s="9">
        <f t="shared" si="1"/>
        <v>0.31949824755580153</v>
      </c>
      <c r="AX5" s="9">
        <f t="shared" si="1"/>
        <v>0.4174506548607268</v>
      </c>
      <c r="AY5" s="9">
        <f t="shared" si="1"/>
        <v>0.34532374100719426</v>
      </c>
      <c r="AZ5" s="9">
        <f t="shared" si="1"/>
        <v>0.14240914960339421</v>
      </c>
      <c r="BA5" s="9">
        <f t="shared" si="1"/>
        <v>7.0282235749861643E-2</v>
      </c>
      <c r="BB5" s="9">
        <f t="shared" si="1"/>
        <v>0.26526471130787677</v>
      </c>
      <c r="BC5" s="9">
        <f t="shared" si="1"/>
        <v>0.31396421324478879</v>
      </c>
      <c r="BD5" s="9">
        <f t="shared" si="1"/>
        <v>0.2602840804279653</v>
      </c>
      <c r="BE5" s="9">
        <f t="shared" si="1"/>
        <v>0.16048699501936911</v>
      </c>
    </row>
    <row r="6" spans="1:57" x14ac:dyDescent="0.25">
      <c r="F6" s="1"/>
      <c r="G6" s="1"/>
      <c r="H6" s="1"/>
      <c r="I6" s="1"/>
      <c r="J6" s="2"/>
    </row>
    <row r="7" spans="1:57" ht="198.45" customHeight="1" x14ac:dyDescent="0.25">
      <c r="F7" s="1"/>
      <c r="G7" s="1"/>
      <c r="H7" s="1"/>
      <c r="I7" s="1"/>
      <c r="J7" s="2"/>
    </row>
    <row r="8" spans="1:57" s="3" customFormat="1" ht="17.399999999999999" x14ac:dyDescent="0.25">
      <c r="A8" s="6" t="s">
        <v>61</v>
      </c>
      <c r="B8" s="6"/>
      <c r="C8" s="6"/>
      <c r="F8" s="7"/>
      <c r="G8" s="7"/>
      <c r="H8" s="7"/>
      <c r="I8" s="7"/>
      <c r="J8" s="5"/>
    </row>
    <row r="9" spans="1:57" ht="17.399999999999999" x14ac:dyDescent="0.25">
      <c r="A9" s="12"/>
      <c r="B9" s="12"/>
      <c r="C9" s="12"/>
      <c r="F9" s="1" t="s">
        <v>75</v>
      </c>
      <c r="G9" s="1" t="s">
        <v>76</v>
      </c>
      <c r="H9" s="1" t="s">
        <v>77</v>
      </c>
      <c r="I9" s="1" t="s">
        <v>78</v>
      </c>
      <c r="J9" s="2" t="s">
        <v>1</v>
      </c>
      <c r="K9" t="s">
        <v>34</v>
      </c>
      <c r="L9" t="s">
        <v>43</v>
      </c>
      <c r="M9" t="s">
        <v>27</v>
      </c>
      <c r="N9" t="s">
        <v>2</v>
      </c>
      <c r="O9" t="s">
        <v>28</v>
      </c>
      <c r="P9" t="s">
        <v>17</v>
      </c>
      <c r="Q9" t="s">
        <v>3</v>
      </c>
      <c r="R9" t="s">
        <v>29</v>
      </c>
      <c r="S9" t="s">
        <v>41</v>
      </c>
      <c r="T9" t="s">
        <v>4</v>
      </c>
      <c r="U9" t="s">
        <v>18</v>
      </c>
      <c r="V9" t="s">
        <v>21</v>
      </c>
      <c r="W9" t="s">
        <v>5</v>
      </c>
      <c r="X9" t="s">
        <v>6</v>
      </c>
      <c r="Y9" t="s">
        <v>7</v>
      </c>
      <c r="Z9" t="s">
        <v>8</v>
      </c>
      <c r="AA9" t="s">
        <v>30</v>
      </c>
      <c r="AB9" t="s">
        <v>79</v>
      </c>
      <c r="AC9" t="s">
        <v>9</v>
      </c>
      <c r="AD9" t="s">
        <v>22</v>
      </c>
      <c r="AE9" t="s">
        <v>36</v>
      </c>
      <c r="AF9" t="s">
        <v>86</v>
      </c>
      <c r="AG9" t="s">
        <v>10</v>
      </c>
      <c r="AH9" t="s">
        <v>39</v>
      </c>
      <c r="AI9" t="s">
        <v>23</v>
      </c>
      <c r="AJ9" t="s">
        <v>11</v>
      </c>
      <c r="AK9" t="s">
        <v>12</v>
      </c>
      <c r="AL9" t="s">
        <v>37</v>
      </c>
      <c r="AM9" t="s">
        <v>31</v>
      </c>
      <c r="AN9" t="s">
        <v>38</v>
      </c>
      <c r="AO9" t="s">
        <v>80</v>
      </c>
      <c r="AP9" t="s">
        <v>85</v>
      </c>
      <c r="AQ9" t="s">
        <v>19</v>
      </c>
      <c r="AR9" t="s">
        <v>32</v>
      </c>
      <c r="AS9" t="s">
        <v>13</v>
      </c>
      <c r="AT9" t="s">
        <v>81</v>
      </c>
      <c r="AU9" t="s">
        <v>82</v>
      </c>
      <c r="AV9" t="s">
        <v>24</v>
      </c>
      <c r="AW9" t="s">
        <v>35</v>
      </c>
      <c r="AX9" t="s">
        <v>14</v>
      </c>
      <c r="AY9" t="s">
        <v>25</v>
      </c>
      <c r="AZ9" t="s">
        <v>83</v>
      </c>
      <c r="BA9" t="s">
        <v>84</v>
      </c>
      <c r="BB9" t="s">
        <v>40</v>
      </c>
      <c r="BC9" t="s">
        <v>33</v>
      </c>
      <c r="BD9" t="s">
        <v>15</v>
      </c>
      <c r="BE9" t="s">
        <v>26</v>
      </c>
    </row>
    <row r="10" spans="1:57" x14ac:dyDescent="0.25">
      <c r="A10" s="10" t="s">
        <v>88</v>
      </c>
      <c r="B10" s="8">
        <f>SUM(F10:I10)</f>
        <v>3142</v>
      </c>
      <c r="D10" s="2" t="s">
        <v>73</v>
      </c>
      <c r="E10" s="2" t="s">
        <v>54</v>
      </c>
      <c r="F10">
        <v>999</v>
      </c>
      <c r="G10">
        <v>1359</v>
      </c>
      <c r="H10">
        <v>466</v>
      </c>
      <c r="I10">
        <v>318</v>
      </c>
      <c r="J10">
        <v>1572</v>
      </c>
      <c r="K10">
        <v>1401</v>
      </c>
      <c r="L10">
        <v>169</v>
      </c>
      <c r="M10">
        <v>1341</v>
      </c>
      <c r="N10">
        <v>2251</v>
      </c>
      <c r="O10">
        <v>1125</v>
      </c>
      <c r="P10">
        <v>626</v>
      </c>
      <c r="Q10">
        <v>1795</v>
      </c>
      <c r="R10">
        <v>1075</v>
      </c>
      <c r="S10">
        <v>272</v>
      </c>
      <c r="T10">
        <v>1108</v>
      </c>
      <c r="U10">
        <v>1360</v>
      </c>
      <c r="V10">
        <v>674</v>
      </c>
      <c r="W10">
        <v>1524</v>
      </c>
      <c r="X10">
        <v>1883</v>
      </c>
      <c r="Y10">
        <v>1424</v>
      </c>
      <c r="Z10">
        <v>505</v>
      </c>
      <c r="AA10">
        <v>842</v>
      </c>
      <c r="AB10">
        <v>141</v>
      </c>
      <c r="AC10">
        <v>1452</v>
      </c>
      <c r="AD10">
        <v>1360</v>
      </c>
      <c r="AE10">
        <v>329</v>
      </c>
      <c r="AF10">
        <v>613</v>
      </c>
      <c r="AG10">
        <v>1207</v>
      </c>
      <c r="AH10">
        <v>809</v>
      </c>
      <c r="AI10">
        <v>369</v>
      </c>
      <c r="AJ10">
        <v>2064</v>
      </c>
      <c r="AK10">
        <v>713</v>
      </c>
      <c r="AL10">
        <v>529</v>
      </c>
      <c r="AM10">
        <v>928</v>
      </c>
      <c r="AN10">
        <v>240</v>
      </c>
      <c r="AO10">
        <v>188</v>
      </c>
      <c r="AP10">
        <v>483</v>
      </c>
      <c r="AQ10">
        <v>1260</v>
      </c>
      <c r="AR10">
        <v>711</v>
      </c>
      <c r="AS10">
        <v>1613</v>
      </c>
      <c r="AT10">
        <v>442</v>
      </c>
      <c r="AU10">
        <v>106</v>
      </c>
      <c r="AV10">
        <v>1259</v>
      </c>
      <c r="AW10">
        <v>1010</v>
      </c>
      <c r="AX10">
        <v>1263</v>
      </c>
      <c r="AY10">
        <v>1075</v>
      </c>
      <c r="AZ10">
        <v>454</v>
      </c>
      <c r="BA10">
        <v>195</v>
      </c>
      <c r="BB10">
        <v>828</v>
      </c>
      <c r="BC10">
        <v>979</v>
      </c>
      <c r="BD10">
        <v>785</v>
      </c>
      <c r="BE10">
        <v>550</v>
      </c>
    </row>
    <row r="11" spans="1:57" x14ac:dyDescent="0.25">
      <c r="A11" s="8"/>
      <c r="B11" s="8">
        <f>SUM(F11:I11)</f>
        <v>2279</v>
      </c>
      <c r="D11" s="13" t="s">
        <v>74</v>
      </c>
      <c r="E11" s="2" t="s">
        <v>55</v>
      </c>
      <c r="F11">
        <v>453</v>
      </c>
      <c r="G11">
        <v>1113</v>
      </c>
      <c r="H11">
        <v>407</v>
      </c>
      <c r="I11">
        <v>306</v>
      </c>
      <c r="J11">
        <v>1050</v>
      </c>
      <c r="K11">
        <v>1085</v>
      </c>
      <c r="L11">
        <v>144</v>
      </c>
      <c r="M11">
        <v>984</v>
      </c>
      <c r="N11">
        <v>1759</v>
      </c>
      <c r="O11">
        <v>865</v>
      </c>
      <c r="P11">
        <v>508</v>
      </c>
      <c r="Q11">
        <v>1276</v>
      </c>
      <c r="R11">
        <v>812</v>
      </c>
      <c r="S11">
        <v>191</v>
      </c>
      <c r="T11">
        <v>720</v>
      </c>
      <c r="U11">
        <v>1002</v>
      </c>
      <c r="V11">
        <v>557</v>
      </c>
      <c r="W11">
        <v>1000</v>
      </c>
      <c r="X11">
        <v>1474</v>
      </c>
      <c r="Y11">
        <v>1030</v>
      </c>
      <c r="Z11">
        <v>327</v>
      </c>
      <c r="AA11">
        <v>669</v>
      </c>
      <c r="AB11">
        <v>103</v>
      </c>
      <c r="AC11">
        <v>850</v>
      </c>
      <c r="AD11">
        <v>1167</v>
      </c>
      <c r="AE11">
        <v>261</v>
      </c>
      <c r="AF11">
        <v>485</v>
      </c>
      <c r="AG11">
        <v>901</v>
      </c>
      <c r="AH11">
        <v>613</v>
      </c>
      <c r="AI11">
        <v>199</v>
      </c>
      <c r="AJ11">
        <v>1564</v>
      </c>
      <c r="AK11">
        <v>532</v>
      </c>
      <c r="AL11">
        <v>312</v>
      </c>
      <c r="AM11">
        <v>674</v>
      </c>
      <c r="AN11">
        <v>113</v>
      </c>
      <c r="AO11">
        <v>171</v>
      </c>
      <c r="AP11">
        <v>332</v>
      </c>
      <c r="AQ11">
        <v>904</v>
      </c>
      <c r="AR11">
        <v>543</v>
      </c>
      <c r="AS11">
        <v>1178</v>
      </c>
      <c r="AT11">
        <v>317</v>
      </c>
      <c r="AU11">
        <v>80</v>
      </c>
      <c r="AV11">
        <v>857</v>
      </c>
      <c r="AW11">
        <v>722</v>
      </c>
      <c r="AX11">
        <v>1000</v>
      </c>
      <c r="AY11">
        <v>797</v>
      </c>
      <c r="AZ11">
        <v>318</v>
      </c>
      <c r="BA11">
        <v>186</v>
      </c>
      <c r="BB11">
        <v>610</v>
      </c>
      <c r="BC11">
        <v>723</v>
      </c>
      <c r="BD11">
        <v>626</v>
      </c>
      <c r="BE11">
        <v>320</v>
      </c>
    </row>
    <row r="12" spans="1:57" s="4" customFormat="1" x14ac:dyDescent="0.25">
      <c r="A12"/>
      <c r="B12"/>
      <c r="C12"/>
      <c r="D12"/>
      <c r="E12" s="2" t="s">
        <v>54</v>
      </c>
      <c r="F12" s="4">
        <f>F10/$B$10</f>
        <v>0.31795035009548056</v>
      </c>
      <c r="G12" s="4">
        <f t="shared" ref="G12:BE12" si="2">G10/$B$10</f>
        <v>0.43252705283259069</v>
      </c>
      <c r="H12" s="4">
        <f t="shared" si="2"/>
        <v>0.14831317632081475</v>
      </c>
      <c r="I12" s="4">
        <f t="shared" si="2"/>
        <v>0.10120942075111394</v>
      </c>
      <c r="J12" s="4">
        <f t="shared" si="2"/>
        <v>0.5003182686187142</v>
      </c>
      <c r="K12" s="4">
        <f t="shared" si="2"/>
        <v>0.44589433481858687</v>
      </c>
      <c r="L12" s="4">
        <f t="shared" si="2"/>
        <v>5.3787396562698916E-2</v>
      </c>
      <c r="M12" s="4">
        <f t="shared" si="2"/>
        <v>0.42679821769573523</v>
      </c>
      <c r="N12" s="4">
        <f t="shared" si="2"/>
        <v>0.71642266072565242</v>
      </c>
      <c r="O12" s="4">
        <f t="shared" si="2"/>
        <v>0.35805219605346911</v>
      </c>
      <c r="P12" s="4">
        <f t="shared" si="2"/>
        <v>0.19923615531508593</v>
      </c>
      <c r="Q12" s="4">
        <f t="shared" si="2"/>
        <v>0.57129217059197968</v>
      </c>
      <c r="R12" s="4">
        <f t="shared" si="2"/>
        <v>0.34213876511775937</v>
      </c>
      <c r="S12" s="4">
        <f t="shared" si="2"/>
        <v>8.6569064290260983E-2</v>
      </c>
      <c r="T12" s="4">
        <f t="shared" si="2"/>
        <v>0.35264162953532779</v>
      </c>
      <c r="U12" s="4">
        <f t="shared" si="2"/>
        <v>0.43284532145130489</v>
      </c>
      <c r="V12" s="4">
        <f t="shared" si="2"/>
        <v>0.21451304901336729</v>
      </c>
      <c r="W12" s="4">
        <f t="shared" si="2"/>
        <v>0.48504137492043287</v>
      </c>
      <c r="X12" s="4">
        <f t="shared" si="2"/>
        <v>0.59929980903882873</v>
      </c>
      <c r="Y12" s="4">
        <f t="shared" si="2"/>
        <v>0.45321451304901339</v>
      </c>
      <c r="Z12" s="4">
        <f t="shared" si="2"/>
        <v>0.16072565245066836</v>
      </c>
      <c r="AA12" s="4">
        <f t="shared" si="2"/>
        <v>0.26798217695735199</v>
      </c>
      <c r="AB12" s="4">
        <f t="shared" si="2"/>
        <v>4.4875875238701464E-2</v>
      </c>
      <c r="AC12" s="4">
        <f t="shared" si="2"/>
        <v>0.46212603437301081</v>
      </c>
      <c r="AD12" s="4">
        <f t="shared" si="2"/>
        <v>0.43284532145130489</v>
      </c>
      <c r="AE12" s="4">
        <f t="shared" si="2"/>
        <v>0.10471037555697009</v>
      </c>
      <c r="AF12" s="4">
        <f t="shared" si="2"/>
        <v>0.19509866327180139</v>
      </c>
      <c r="AG12" s="4">
        <f t="shared" si="2"/>
        <v>0.38415022278803312</v>
      </c>
      <c r="AH12" s="4">
        <f t="shared" si="2"/>
        <v>0.25747931253978357</v>
      </c>
      <c r="AI12" s="4">
        <f t="shared" si="2"/>
        <v>0.11744112030553787</v>
      </c>
      <c r="AJ12" s="4">
        <f t="shared" si="2"/>
        <v>0.65690642902609808</v>
      </c>
      <c r="AK12" s="4">
        <f t="shared" si="2"/>
        <v>0.22692552514322087</v>
      </c>
      <c r="AL12" s="4">
        <f t="shared" si="2"/>
        <v>0.16836409929980903</v>
      </c>
      <c r="AM12" s="4">
        <f t="shared" si="2"/>
        <v>0.29535327816677276</v>
      </c>
      <c r="AN12" s="4">
        <f t="shared" si="2"/>
        <v>7.6384468491406746E-2</v>
      </c>
      <c r="AO12" s="4">
        <f t="shared" si="2"/>
        <v>5.9834500318268619E-2</v>
      </c>
      <c r="AP12" s="4">
        <f t="shared" si="2"/>
        <v>0.15372374283895607</v>
      </c>
      <c r="AQ12" s="4">
        <f t="shared" si="2"/>
        <v>0.40101845957988541</v>
      </c>
      <c r="AR12" s="4">
        <f t="shared" si="2"/>
        <v>0.22628898790579249</v>
      </c>
      <c r="AS12" s="4">
        <f t="shared" si="2"/>
        <v>0.51336728198599613</v>
      </c>
      <c r="AT12" s="4">
        <f t="shared" si="2"/>
        <v>0.14067472947167409</v>
      </c>
      <c r="AU12" s="4">
        <f t="shared" si="2"/>
        <v>3.373647358370465E-2</v>
      </c>
      <c r="AV12" s="4">
        <f t="shared" si="2"/>
        <v>0.40070019096117121</v>
      </c>
      <c r="AW12" s="4">
        <f t="shared" si="2"/>
        <v>0.32145130490133672</v>
      </c>
      <c r="AX12" s="4">
        <f t="shared" si="2"/>
        <v>0.40197326543602802</v>
      </c>
      <c r="AY12" s="4">
        <f t="shared" si="2"/>
        <v>0.34213876511775937</v>
      </c>
      <c r="AZ12" s="4">
        <f t="shared" si="2"/>
        <v>0.14449395289624442</v>
      </c>
      <c r="BA12" s="4">
        <f t="shared" si="2"/>
        <v>6.206238064926798E-2</v>
      </c>
      <c r="BB12" s="4">
        <f t="shared" si="2"/>
        <v>0.26352641629535328</v>
      </c>
      <c r="BC12" s="4">
        <f t="shared" si="2"/>
        <v>0.3115849777211967</v>
      </c>
      <c r="BD12" s="4">
        <f t="shared" si="2"/>
        <v>0.2498408656906429</v>
      </c>
      <c r="BE12" s="4">
        <f t="shared" si="2"/>
        <v>0.17504774029280712</v>
      </c>
    </row>
    <row r="13" spans="1:57" s="4" customFormat="1" x14ac:dyDescent="0.25">
      <c r="A13"/>
      <c r="B13"/>
      <c r="C13"/>
      <c r="D13"/>
      <c r="E13" s="2" t="s">
        <v>55</v>
      </c>
      <c r="F13" s="4">
        <f>F11/$B11</f>
        <v>0.19877139096094779</v>
      </c>
      <c r="G13" s="4">
        <f t="shared" ref="G13:BE13" si="3">G11/$B11</f>
        <v>0.48837209302325579</v>
      </c>
      <c r="H13" s="4">
        <f t="shared" si="3"/>
        <v>0.17858709960508995</v>
      </c>
      <c r="I13" s="4">
        <f t="shared" si="3"/>
        <v>0.13426941641070644</v>
      </c>
      <c r="J13" s="4">
        <f t="shared" si="3"/>
        <v>0.46072838964458096</v>
      </c>
      <c r="K13" s="4">
        <f t="shared" si="3"/>
        <v>0.47608600263273365</v>
      </c>
      <c r="L13" s="4">
        <f t="shared" si="3"/>
        <v>6.3185607722685388E-2</v>
      </c>
      <c r="M13" s="4">
        <f t="shared" si="3"/>
        <v>0.43176831943835015</v>
      </c>
      <c r="N13" s="4">
        <f t="shared" si="3"/>
        <v>0.77182974989030273</v>
      </c>
      <c r="O13" s="4">
        <f t="shared" si="3"/>
        <v>0.37955243527863097</v>
      </c>
      <c r="P13" s="4">
        <f t="shared" si="3"/>
        <v>0.22290478279947346</v>
      </c>
      <c r="Q13" s="4">
        <f t="shared" si="3"/>
        <v>0.55989469065379549</v>
      </c>
      <c r="R13" s="4">
        <f t="shared" si="3"/>
        <v>0.35629662132514262</v>
      </c>
      <c r="S13" s="4">
        <f t="shared" si="3"/>
        <v>8.3808688021061867E-2</v>
      </c>
      <c r="T13" s="4">
        <f t="shared" si="3"/>
        <v>0.31592803861342694</v>
      </c>
      <c r="U13" s="4">
        <f t="shared" si="3"/>
        <v>0.43966652040368581</v>
      </c>
      <c r="V13" s="4">
        <f t="shared" si="3"/>
        <v>0.24440544098288722</v>
      </c>
      <c r="W13" s="4">
        <f t="shared" si="3"/>
        <v>0.43878894251864853</v>
      </c>
      <c r="X13" s="4">
        <f t="shared" si="3"/>
        <v>0.64677490127248793</v>
      </c>
      <c r="Y13" s="4">
        <f t="shared" si="3"/>
        <v>0.45195261079420801</v>
      </c>
      <c r="Z13" s="4">
        <f t="shared" si="3"/>
        <v>0.14348398420359806</v>
      </c>
      <c r="AA13" s="4">
        <f t="shared" si="3"/>
        <v>0.29354980254497587</v>
      </c>
      <c r="AB13" s="4">
        <f t="shared" si="3"/>
        <v>4.5195261079420797E-2</v>
      </c>
      <c r="AC13" s="4">
        <f t="shared" si="3"/>
        <v>0.37297060114085123</v>
      </c>
      <c r="AD13" s="4">
        <f t="shared" si="3"/>
        <v>0.51206669591926279</v>
      </c>
      <c r="AE13" s="4">
        <f t="shared" si="3"/>
        <v>0.11452391399736726</v>
      </c>
      <c r="AF13" s="4">
        <f t="shared" si="3"/>
        <v>0.21281263712154452</v>
      </c>
      <c r="AG13" s="4">
        <f t="shared" si="3"/>
        <v>0.39534883720930231</v>
      </c>
      <c r="AH13" s="4">
        <f t="shared" si="3"/>
        <v>0.26897762176393153</v>
      </c>
      <c r="AI13" s="4">
        <f t="shared" si="3"/>
        <v>8.7318999561211058E-2</v>
      </c>
      <c r="AJ13" s="4">
        <f t="shared" si="3"/>
        <v>0.68626590609916627</v>
      </c>
      <c r="AK13" s="4">
        <f t="shared" si="3"/>
        <v>0.23343571741992103</v>
      </c>
      <c r="AL13" s="4">
        <f t="shared" si="3"/>
        <v>0.13690215006581835</v>
      </c>
      <c r="AM13" s="4">
        <f t="shared" si="3"/>
        <v>0.29574374725756913</v>
      </c>
      <c r="AN13" s="4">
        <f t="shared" si="3"/>
        <v>4.9583150504607286E-2</v>
      </c>
      <c r="AO13" s="4">
        <f t="shared" si="3"/>
        <v>7.5032909170688902E-2</v>
      </c>
      <c r="AP13" s="4">
        <f t="shared" si="3"/>
        <v>0.1456779289161913</v>
      </c>
      <c r="AQ13" s="4">
        <f t="shared" si="3"/>
        <v>0.39666520403685829</v>
      </c>
      <c r="AR13" s="4">
        <f t="shared" si="3"/>
        <v>0.23826239578762615</v>
      </c>
      <c r="AS13" s="4">
        <f t="shared" si="3"/>
        <v>0.51689337428696802</v>
      </c>
      <c r="AT13" s="4">
        <f t="shared" si="3"/>
        <v>0.13909609477841159</v>
      </c>
      <c r="AU13" s="4">
        <f t="shared" si="3"/>
        <v>3.5103115401491886E-2</v>
      </c>
      <c r="AV13" s="4">
        <f t="shared" si="3"/>
        <v>0.37604212373848178</v>
      </c>
      <c r="AW13" s="4">
        <f t="shared" si="3"/>
        <v>0.31680561649846423</v>
      </c>
      <c r="AX13" s="4">
        <f t="shared" si="3"/>
        <v>0.43878894251864853</v>
      </c>
      <c r="AY13" s="4">
        <f t="shared" si="3"/>
        <v>0.34971478718736287</v>
      </c>
      <c r="AZ13" s="4">
        <f t="shared" si="3"/>
        <v>0.13953488372093023</v>
      </c>
      <c r="BA13" s="4">
        <f t="shared" si="3"/>
        <v>8.1614743308468629E-2</v>
      </c>
      <c r="BB13" s="4">
        <f t="shared" si="3"/>
        <v>0.2676612549363756</v>
      </c>
      <c r="BC13" s="4">
        <f t="shared" si="3"/>
        <v>0.31724440544098287</v>
      </c>
      <c r="BD13" s="4">
        <f t="shared" si="3"/>
        <v>0.27468187801667399</v>
      </c>
      <c r="BE13" s="4">
        <f t="shared" si="3"/>
        <v>0.14041246160596754</v>
      </c>
    </row>
    <row r="15" spans="1:57" ht="178.5" customHeight="1" x14ac:dyDescent="0.25"/>
    <row r="16" spans="1:57" s="3" customFormat="1" ht="17.399999999999999" x14ac:dyDescent="0.25">
      <c r="A16" s="6" t="s">
        <v>62</v>
      </c>
      <c r="B16" s="6"/>
      <c r="C16" s="6"/>
      <c r="F16" s="7"/>
      <c r="G16" s="7"/>
      <c r="H16" s="7"/>
      <c r="I16" s="7"/>
      <c r="J16" s="5"/>
    </row>
    <row r="17" spans="1:57" x14ac:dyDescent="0.25">
      <c r="F17" s="1" t="s">
        <v>75</v>
      </c>
      <c r="G17" s="1" t="s">
        <v>76</v>
      </c>
      <c r="H17" s="1" t="s">
        <v>77</v>
      </c>
      <c r="I17" s="1" t="s">
        <v>78</v>
      </c>
      <c r="J17" s="2" t="s">
        <v>1</v>
      </c>
      <c r="K17" t="s">
        <v>34</v>
      </c>
      <c r="L17" t="s">
        <v>43</v>
      </c>
      <c r="M17" t="s">
        <v>27</v>
      </c>
      <c r="N17" t="s">
        <v>2</v>
      </c>
      <c r="O17" t="s">
        <v>28</v>
      </c>
      <c r="P17" t="s">
        <v>17</v>
      </c>
      <c r="Q17" t="s">
        <v>3</v>
      </c>
      <c r="R17" t="s">
        <v>29</v>
      </c>
      <c r="S17" t="s">
        <v>41</v>
      </c>
      <c r="T17" t="s">
        <v>4</v>
      </c>
      <c r="U17" t="s">
        <v>18</v>
      </c>
      <c r="V17" t="s">
        <v>21</v>
      </c>
      <c r="W17" t="s">
        <v>5</v>
      </c>
      <c r="X17" t="s">
        <v>6</v>
      </c>
      <c r="Y17" t="s">
        <v>7</v>
      </c>
      <c r="Z17" t="s">
        <v>8</v>
      </c>
      <c r="AA17" t="s">
        <v>30</v>
      </c>
      <c r="AB17" t="s">
        <v>79</v>
      </c>
      <c r="AC17" t="s">
        <v>9</v>
      </c>
      <c r="AD17" t="s">
        <v>22</v>
      </c>
      <c r="AE17" t="s">
        <v>36</v>
      </c>
      <c r="AF17" t="s">
        <v>86</v>
      </c>
      <c r="AG17" t="s">
        <v>10</v>
      </c>
      <c r="AH17" t="s">
        <v>39</v>
      </c>
      <c r="AI17" t="s">
        <v>23</v>
      </c>
      <c r="AJ17" t="s">
        <v>11</v>
      </c>
      <c r="AK17" t="s">
        <v>12</v>
      </c>
      <c r="AL17" t="s">
        <v>37</v>
      </c>
      <c r="AM17" t="s">
        <v>31</v>
      </c>
      <c r="AN17" t="s">
        <v>38</v>
      </c>
      <c r="AO17" t="s">
        <v>80</v>
      </c>
      <c r="AP17" t="s">
        <v>85</v>
      </c>
      <c r="AQ17" t="s">
        <v>19</v>
      </c>
      <c r="AR17" t="s">
        <v>32</v>
      </c>
      <c r="AS17" t="s">
        <v>13</v>
      </c>
      <c r="AT17" t="s">
        <v>81</v>
      </c>
      <c r="AU17" t="s">
        <v>82</v>
      </c>
      <c r="AV17" t="s">
        <v>24</v>
      </c>
      <c r="AW17" t="s">
        <v>35</v>
      </c>
      <c r="AX17" t="s">
        <v>14</v>
      </c>
      <c r="AY17" t="s">
        <v>25</v>
      </c>
      <c r="AZ17" t="s">
        <v>83</v>
      </c>
      <c r="BA17" t="s">
        <v>84</v>
      </c>
      <c r="BB17" t="s">
        <v>40</v>
      </c>
      <c r="BC17" t="s">
        <v>33</v>
      </c>
      <c r="BD17" t="s">
        <v>15</v>
      </c>
      <c r="BE17" t="s">
        <v>26</v>
      </c>
    </row>
    <row r="18" spans="1:57" x14ac:dyDescent="0.25">
      <c r="A18" s="10" t="s">
        <v>88</v>
      </c>
      <c r="B18" s="8">
        <f>SUM(F18:I18)</f>
        <v>679</v>
      </c>
      <c r="D18" s="2" t="s">
        <v>69</v>
      </c>
      <c r="E18" s="2" t="s">
        <v>56</v>
      </c>
      <c r="F18">
        <v>204</v>
      </c>
      <c r="G18">
        <v>276</v>
      </c>
      <c r="H18">
        <v>139</v>
      </c>
      <c r="I18">
        <v>60</v>
      </c>
      <c r="J18">
        <v>327</v>
      </c>
      <c r="K18">
        <v>303</v>
      </c>
      <c r="L18">
        <v>49</v>
      </c>
      <c r="M18">
        <v>307</v>
      </c>
      <c r="N18">
        <v>418</v>
      </c>
      <c r="O18">
        <v>218</v>
      </c>
      <c r="P18">
        <v>122</v>
      </c>
      <c r="Q18">
        <v>382</v>
      </c>
      <c r="R18">
        <v>226</v>
      </c>
      <c r="S18">
        <v>71</v>
      </c>
      <c r="T18">
        <v>269</v>
      </c>
      <c r="U18">
        <v>288</v>
      </c>
      <c r="V18">
        <v>122</v>
      </c>
      <c r="W18">
        <v>307</v>
      </c>
      <c r="X18">
        <v>394</v>
      </c>
      <c r="Y18">
        <v>310</v>
      </c>
      <c r="Z18">
        <v>91</v>
      </c>
      <c r="AA18">
        <v>144</v>
      </c>
      <c r="AB18">
        <v>26</v>
      </c>
      <c r="AC18">
        <v>290</v>
      </c>
      <c r="AD18">
        <v>294</v>
      </c>
      <c r="AE18">
        <v>94</v>
      </c>
      <c r="AF18">
        <v>176</v>
      </c>
      <c r="AG18">
        <v>271</v>
      </c>
      <c r="AH18">
        <v>146</v>
      </c>
      <c r="AI18">
        <v>62</v>
      </c>
      <c r="AJ18">
        <v>452</v>
      </c>
      <c r="AK18">
        <v>139</v>
      </c>
      <c r="AL18">
        <v>122</v>
      </c>
      <c r="AM18">
        <v>158</v>
      </c>
      <c r="AN18">
        <v>42</v>
      </c>
      <c r="AO18">
        <v>34</v>
      </c>
      <c r="AP18">
        <v>150</v>
      </c>
      <c r="AQ18">
        <v>223</v>
      </c>
      <c r="AR18">
        <v>166</v>
      </c>
      <c r="AS18">
        <v>295</v>
      </c>
      <c r="AT18">
        <v>86</v>
      </c>
      <c r="AU18">
        <v>25</v>
      </c>
      <c r="AV18">
        <v>260</v>
      </c>
      <c r="AW18">
        <v>227</v>
      </c>
      <c r="AX18">
        <v>249</v>
      </c>
      <c r="AY18">
        <v>195</v>
      </c>
      <c r="AZ18">
        <v>89</v>
      </c>
      <c r="BA18">
        <v>34</v>
      </c>
      <c r="BB18">
        <v>222</v>
      </c>
      <c r="BC18">
        <v>231</v>
      </c>
      <c r="BD18">
        <v>151</v>
      </c>
      <c r="BE18">
        <v>75</v>
      </c>
    </row>
    <row r="19" spans="1:57" x14ac:dyDescent="0.25">
      <c r="A19" s="8"/>
      <c r="B19" s="8">
        <f t="shared" ref="B19:B21" si="4">SUM(F19:I19)</f>
        <v>1685</v>
      </c>
      <c r="D19" s="2" t="s">
        <v>70</v>
      </c>
      <c r="E19" s="2" t="s">
        <v>57</v>
      </c>
      <c r="F19">
        <v>515</v>
      </c>
      <c r="G19">
        <v>804</v>
      </c>
      <c r="H19">
        <v>239</v>
      </c>
      <c r="I19">
        <v>127</v>
      </c>
      <c r="J19">
        <v>799</v>
      </c>
      <c r="K19">
        <v>793</v>
      </c>
      <c r="L19">
        <v>93</v>
      </c>
      <c r="M19">
        <v>698</v>
      </c>
      <c r="N19">
        <v>1215</v>
      </c>
      <c r="O19">
        <v>612</v>
      </c>
      <c r="P19">
        <v>360</v>
      </c>
      <c r="Q19">
        <v>910</v>
      </c>
      <c r="R19">
        <v>638</v>
      </c>
      <c r="S19">
        <v>137</v>
      </c>
      <c r="T19">
        <v>563</v>
      </c>
      <c r="U19">
        <v>762</v>
      </c>
      <c r="V19">
        <v>360</v>
      </c>
      <c r="W19">
        <v>747</v>
      </c>
      <c r="X19">
        <v>985</v>
      </c>
      <c r="Y19">
        <v>781</v>
      </c>
      <c r="Z19">
        <v>291</v>
      </c>
      <c r="AA19">
        <v>383</v>
      </c>
      <c r="AB19">
        <v>48</v>
      </c>
      <c r="AC19">
        <v>765</v>
      </c>
      <c r="AD19">
        <v>783</v>
      </c>
      <c r="AE19">
        <v>137</v>
      </c>
      <c r="AF19">
        <v>260</v>
      </c>
      <c r="AG19">
        <v>641</v>
      </c>
      <c r="AH19">
        <v>516</v>
      </c>
      <c r="AI19">
        <v>194</v>
      </c>
      <c r="AJ19">
        <v>976</v>
      </c>
      <c r="AK19">
        <v>469</v>
      </c>
      <c r="AL19">
        <v>330</v>
      </c>
      <c r="AM19">
        <v>485</v>
      </c>
      <c r="AN19">
        <v>138</v>
      </c>
      <c r="AO19">
        <v>79</v>
      </c>
      <c r="AP19">
        <v>199</v>
      </c>
      <c r="AQ19">
        <v>798</v>
      </c>
      <c r="AR19">
        <v>417</v>
      </c>
      <c r="AS19">
        <v>814</v>
      </c>
      <c r="AT19">
        <v>216</v>
      </c>
      <c r="AU19">
        <v>34</v>
      </c>
      <c r="AV19">
        <v>629</v>
      </c>
      <c r="AW19">
        <v>596</v>
      </c>
      <c r="AX19">
        <v>676</v>
      </c>
      <c r="AY19">
        <v>572</v>
      </c>
      <c r="AZ19">
        <v>238</v>
      </c>
      <c r="BA19">
        <v>69</v>
      </c>
      <c r="BB19">
        <v>423</v>
      </c>
      <c r="BC19">
        <v>596</v>
      </c>
      <c r="BD19">
        <v>439</v>
      </c>
      <c r="BE19">
        <v>227</v>
      </c>
    </row>
    <row r="20" spans="1:57" x14ac:dyDescent="0.25">
      <c r="A20" s="8"/>
      <c r="B20" s="8">
        <f t="shared" si="4"/>
        <v>1403</v>
      </c>
      <c r="D20" s="2" t="s">
        <v>71</v>
      </c>
      <c r="E20" s="2" t="s">
        <v>58</v>
      </c>
      <c r="F20">
        <v>361</v>
      </c>
      <c r="G20">
        <v>656</v>
      </c>
      <c r="H20">
        <v>238</v>
      </c>
      <c r="I20">
        <v>148</v>
      </c>
      <c r="J20">
        <v>672</v>
      </c>
      <c r="K20">
        <v>646</v>
      </c>
      <c r="L20">
        <v>85</v>
      </c>
      <c r="M20">
        <v>597</v>
      </c>
      <c r="N20">
        <v>1046</v>
      </c>
      <c r="O20">
        <v>582</v>
      </c>
      <c r="P20">
        <v>290</v>
      </c>
      <c r="Q20">
        <v>806</v>
      </c>
      <c r="R20">
        <v>480</v>
      </c>
      <c r="S20">
        <v>117</v>
      </c>
      <c r="T20">
        <v>428</v>
      </c>
      <c r="U20">
        <v>628</v>
      </c>
      <c r="V20">
        <v>347</v>
      </c>
      <c r="W20">
        <v>681</v>
      </c>
      <c r="X20">
        <v>859</v>
      </c>
      <c r="Y20">
        <v>661</v>
      </c>
      <c r="Z20">
        <v>249</v>
      </c>
      <c r="AA20">
        <v>433</v>
      </c>
      <c r="AB20">
        <v>59</v>
      </c>
      <c r="AC20">
        <v>579</v>
      </c>
      <c r="AD20">
        <v>682</v>
      </c>
      <c r="AE20">
        <v>141</v>
      </c>
      <c r="AF20">
        <v>246</v>
      </c>
      <c r="AG20">
        <v>548</v>
      </c>
      <c r="AH20">
        <v>367</v>
      </c>
      <c r="AI20">
        <v>180</v>
      </c>
      <c r="AJ20">
        <v>947</v>
      </c>
      <c r="AK20">
        <v>347</v>
      </c>
      <c r="AL20">
        <v>257</v>
      </c>
      <c r="AM20">
        <v>470</v>
      </c>
      <c r="AN20">
        <v>102</v>
      </c>
      <c r="AO20">
        <v>77</v>
      </c>
      <c r="AP20">
        <v>172</v>
      </c>
      <c r="AQ20">
        <v>602</v>
      </c>
      <c r="AR20">
        <v>343</v>
      </c>
      <c r="AS20">
        <v>792</v>
      </c>
      <c r="AT20">
        <v>214</v>
      </c>
      <c r="AU20">
        <v>38</v>
      </c>
      <c r="AV20">
        <v>530</v>
      </c>
      <c r="AW20">
        <v>447</v>
      </c>
      <c r="AX20">
        <v>634</v>
      </c>
      <c r="AY20">
        <v>535</v>
      </c>
      <c r="AZ20">
        <v>226</v>
      </c>
      <c r="BA20">
        <v>87</v>
      </c>
      <c r="BB20">
        <v>335</v>
      </c>
      <c r="BC20">
        <v>412</v>
      </c>
      <c r="BD20">
        <v>408</v>
      </c>
      <c r="BE20">
        <v>248</v>
      </c>
    </row>
    <row r="21" spans="1:57" x14ac:dyDescent="0.25">
      <c r="A21" s="8"/>
      <c r="B21" s="8">
        <f t="shared" si="4"/>
        <v>1654</v>
      </c>
      <c r="D21" s="2" t="s">
        <v>72</v>
      </c>
      <c r="E21" s="2" t="s">
        <v>59</v>
      </c>
      <c r="F21">
        <v>372</v>
      </c>
      <c r="G21">
        <v>736</v>
      </c>
      <c r="H21">
        <v>257</v>
      </c>
      <c r="I21">
        <v>289</v>
      </c>
      <c r="J21">
        <v>824</v>
      </c>
      <c r="K21">
        <v>744</v>
      </c>
      <c r="L21">
        <v>86</v>
      </c>
      <c r="M21">
        <v>723</v>
      </c>
      <c r="N21">
        <v>1331</v>
      </c>
      <c r="O21">
        <v>578</v>
      </c>
      <c r="P21">
        <v>362</v>
      </c>
      <c r="Q21">
        <v>973</v>
      </c>
      <c r="R21">
        <v>543</v>
      </c>
      <c r="S21">
        <v>138</v>
      </c>
      <c r="T21">
        <v>568</v>
      </c>
      <c r="U21">
        <v>684</v>
      </c>
      <c r="V21">
        <v>402</v>
      </c>
      <c r="W21">
        <v>789</v>
      </c>
      <c r="X21">
        <v>1119</v>
      </c>
      <c r="Y21">
        <v>702</v>
      </c>
      <c r="Z21">
        <v>201</v>
      </c>
      <c r="AA21">
        <v>551</v>
      </c>
      <c r="AB21">
        <v>111</v>
      </c>
      <c r="AC21">
        <v>668</v>
      </c>
      <c r="AD21">
        <v>768</v>
      </c>
      <c r="AE21">
        <v>218</v>
      </c>
      <c r="AF21">
        <v>416</v>
      </c>
      <c r="AG21">
        <v>648</v>
      </c>
      <c r="AH21">
        <v>393</v>
      </c>
      <c r="AI21">
        <v>132</v>
      </c>
      <c r="AJ21">
        <v>1253</v>
      </c>
      <c r="AK21">
        <v>290</v>
      </c>
      <c r="AL21">
        <v>132</v>
      </c>
      <c r="AM21">
        <v>489</v>
      </c>
      <c r="AN21">
        <v>71</v>
      </c>
      <c r="AO21">
        <v>169</v>
      </c>
      <c r="AP21">
        <v>294</v>
      </c>
      <c r="AQ21">
        <v>541</v>
      </c>
      <c r="AR21">
        <v>328</v>
      </c>
      <c r="AS21">
        <v>890</v>
      </c>
      <c r="AT21">
        <v>243</v>
      </c>
      <c r="AU21">
        <v>89</v>
      </c>
      <c r="AV21">
        <v>697</v>
      </c>
      <c r="AW21">
        <v>462</v>
      </c>
      <c r="AX21">
        <v>704</v>
      </c>
      <c r="AY21">
        <v>570</v>
      </c>
      <c r="AZ21">
        <v>219</v>
      </c>
      <c r="BA21">
        <v>191</v>
      </c>
      <c r="BB21">
        <v>458</v>
      </c>
      <c r="BC21">
        <v>463</v>
      </c>
      <c r="BD21">
        <v>413</v>
      </c>
      <c r="BE21">
        <v>320</v>
      </c>
    </row>
    <row r="22" spans="1:57" s="4" customFormat="1" x14ac:dyDescent="0.25">
      <c r="A22"/>
      <c r="B22"/>
      <c r="C22"/>
      <c r="D22"/>
      <c r="E22" s="2" t="s">
        <v>56</v>
      </c>
      <c r="F22" s="4">
        <f>F18/$B18</f>
        <v>0.30044182621502208</v>
      </c>
      <c r="G22" s="4">
        <f t="shared" ref="G22:BE24" si="5">G18/$B18</f>
        <v>0.40648011782032401</v>
      </c>
      <c r="H22" s="4">
        <f t="shared" si="5"/>
        <v>0.20471281296023564</v>
      </c>
      <c r="I22" s="4">
        <f t="shared" si="5"/>
        <v>8.8365243004418267E-2</v>
      </c>
      <c r="J22" s="4">
        <f t="shared" si="5"/>
        <v>0.48159057437407954</v>
      </c>
      <c r="K22" s="4">
        <f t="shared" si="5"/>
        <v>0.44624447717231225</v>
      </c>
      <c r="L22" s="4">
        <f t="shared" si="5"/>
        <v>7.2164948453608241E-2</v>
      </c>
      <c r="M22" s="4">
        <f t="shared" si="5"/>
        <v>0.45213549337260678</v>
      </c>
      <c r="N22" s="4">
        <f t="shared" si="5"/>
        <v>0.61561119293078059</v>
      </c>
      <c r="O22" s="4">
        <f t="shared" si="5"/>
        <v>0.32106038291605304</v>
      </c>
      <c r="P22" s="4">
        <f t="shared" si="5"/>
        <v>0.1796759941089838</v>
      </c>
      <c r="Q22" s="4">
        <f t="shared" si="5"/>
        <v>0.5625920471281296</v>
      </c>
      <c r="R22" s="4">
        <f t="shared" si="5"/>
        <v>0.3328424153166421</v>
      </c>
      <c r="S22" s="4">
        <f t="shared" si="5"/>
        <v>0.10456553755522828</v>
      </c>
      <c r="T22" s="4">
        <f t="shared" si="5"/>
        <v>0.39617083946980852</v>
      </c>
      <c r="U22" s="4">
        <f t="shared" si="5"/>
        <v>0.42415316642120765</v>
      </c>
      <c r="V22" s="4">
        <f t="shared" si="5"/>
        <v>0.1796759941089838</v>
      </c>
      <c r="W22" s="4">
        <f t="shared" si="5"/>
        <v>0.45213549337260678</v>
      </c>
      <c r="X22" s="4">
        <f t="shared" si="5"/>
        <v>0.5802650957290133</v>
      </c>
      <c r="Y22" s="4">
        <f t="shared" si="5"/>
        <v>0.45655375552282768</v>
      </c>
      <c r="Z22" s="4">
        <f t="shared" si="5"/>
        <v>0.13402061855670103</v>
      </c>
      <c r="AA22" s="4">
        <f t="shared" si="5"/>
        <v>0.21207658321060383</v>
      </c>
      <c r="AB22" s="4">
        <f t="shared" si="5"/>
        <v>3.8291605301914583E-2</v>
      </c>
      <c r="AC22" s="4">
        <f t="shared" si="5"/>
        <v>0.42709867452135492</v>
      </c>
      <c r="AD22" s="4">
        <f t="shared" si="5"/>
        <v>0.4329896907216495</v>
      </c>
      <c r="AE22" s="4">
        <f t="shared" si="5"/>
        <v>0.13843888070692195</v>
      </c>
      <c r="AF22" s="4">
        <f t="shared" si="5"/>
        <v>0.25920471281296026</v>
      </c>
      <c r="AG22" s="4">
        <f t="shared" si="5"/>
        <v>0.39911634756995584</v>
      </c>
      <c r="AH22" s="4">
        <f t="shared" si="5"/>
        <v>0.21502209131075112</v>
      </c>
      <c r="AI22" s="4">
        <f t="shared" si="5"/>
        <v>9.1310751104565532E-2</v>
      </c>
      <c r="AJ22" s="4">
        <f t="shared" si="5"/>
        <v>0.66568483063328421</v>
      </c>
      <c r="AK22" s="4">
        <f t="shared" si="5"/>
        <v>0.20471281296023564</v>
      </c>
      <c r="AL22" s="4">
        <f t="shared" si="5"/>
        <v>0.1796759941089838</v>
      </c>
      <c r="AM22" s="4">
        <f t="shared" si="5"/>
        <v>0.23269513991163476</v>
      </c>
      <c r="AN22" s="4">
        <f t="shared" si="5"/>
        <v>6.1855670103092786E-2</v>
      </c>
      <c r="AO22" s="4">
        <f t="shared" si="5"/>
        <v>5.0073637702503684E-2</v>
      </c>
      <c r="AP22" s="4">
        <f t="shared" si="5"/>
        <v>0.22091310751104565</v>
      </c>
      <c r="AQ22" s="4">
        <f t="shared" si="5"/>
        <v>0.32842415316642121</v>
      </c>
      <c r="AR22" s="4">
        <f t="shared" si="5"/>
        <v>0.24447717231222385</v>
      </c>
      <c r="AS22" s="4">
        <f t="shared" si="5"/>
        <v>0.43446244477172313</v>
      </c>
      <c r="AT22" s="4">
        <f t="shared" si="5"/>
        <v>0.12665684830633284</v>
      </c>
      <c r="AU22" s="4">
        <f t="shared" si="5"/>
        <v>3.6818851251840944E-2</v>
      </c>
      <c r="AV22" s="4">
        <f t="shared" si="5"/>
        <v>0.38291605301914583</v>
      </c>
      <c r="AW22" s="4">
        <f t="shared" si="5"/>
        <v>0.33431516936671574</v>
      </c>
      <c r="AX22" s="4">
        <f t="shared" si="5"/>
        <v>0.36671575846833576</v>
      </c>
      <c r="AY22" s="4">
        <f t="shared" si="5"/>
        <v>0.28718703976435933</v>
      </c>
      <c r="AZ22" s="4">
        <f t="shared" si="5"/>
        <v>0.13107511045655376</v>
      </c>
      <c r="BA22" s="4">
        <f t="shared" si="5"/>
        <v>5.0073637702503684E-2</v>
      </c>
      <c r="BB22" s="4">
        <f t="shared" si="5"/>
        <v>0.32695139911634757</v>
      </c>
      <c r="BC22" s="4">
        <f t="shared" si="5"/>
        <v>0.34020618556701032</v>
      </c>
      <c r="BD22" s="4">
        <f t="shared" si="5"/>
        <v>0.22238586156111928</v>
      </c>
      <c r="BE22" s="4">
        <f t="shared" si="5"/>
        <v>0.11045655375552282</v>
      </c>
    </row>
    <row r="23" spans="1:57" s="4" customFormat="1" x14ac:dyDescent="0.25">
      <c r="A23"/>
      <c r="B23"/>
      <c r="C23"/>
      <c r="D23"/>
      <c r="E23" s="2" t="s">
        <v>57</v>
      </c>
      <c r="F23" s="4">
        <f t="shared" ref="F23:U24" si="6">F19/$B19</f>
        <v>0.3056379821958457</v>
      </c>
      <c r="G23" s="4">
        <f t="shared" si="6"/>
        <v>0.47715133531157272</v>
      </c>
      <c r="H23" s="4">
        <f t="shared" si="6"/>
        <v>0.14183976261127595</v>
      </c>
      <c r="I23" s="4">
        <f t="shared" si="6"/>
        <v>7.5370919881305634E-2</v>
      </c>
      <c r="J23" s="4">
        <f t="shared" si="6"/>
        <v>0.47418397626112757</v>
      </c>
      <c r="K23" s="4">
        <f t="shared" si="6"/>
        <v>0.47062314540059347</v>
      </c>
      <c r="L23" s="4">
        <f t="shared" si="6"/>
        <v>5.5192878338278933E-2</v>
      </c>
      <c r="M23" s="4">
        <f t="shared" si="6"/>
        <v>0.41424332344213649</v>
      </c>
      <c r="N23" s="4">
        <f t="shared" si="6"/>
        <v>0.72106824925816027</v>
      </c>
      <c r="O23" s="4">
        <f t="shared" si="6"/>
        <v>0.3632047477744807</v>
      </c>
      <c r="P23" s="4">
        <f t="shared" si="6"/>
        <v>0.21364985163204747</v>
      </c>
      <c r="Q23" s="4">
        <f t="shared" si="6"/>
        <v>0.5400593471810089</v>
      </c>
      <c r="R23" s="4">
        <f t="shared" si="6"/>
        <v>0.37863501483679524</v>
      </c>
      <c r="S23" s="4">
        <f t="shared" si="6"/>
        <v>8.1305637982195852E-2</v>
      </c>
      <c r="T23" s="4">
        <f t="shared" si="6"/>
        <v>0.3341246290801187</v>
      </c>
      <c r="U23" s="4">
        <f t="shared" si="6"/>
        <v>0.45222551928783383</v>
      </c>
      <c r="V23" s="4">
        <f t="shared" si="5"/>
        <v>0.21364985163204747</v>
      </c>
      <c r="W23" s="4">
        <f t="shared" si="5"/>
        <v>0.44332344213649849</v>
      </c>
      <c r="X23" s="4">
        <f t="shared" si="5"/>
        <v>0.58456973293768544</v>
      </c>
      <c r="Y23" s="4">
        <f t="shared" si="5"/>
        <v>0.46350148367952521</v>
      </c>
      <c r="Z23" s="4">
        <f t="shared" si="5"/>
        <v>0.17270029673590503</v>
      </c>
      <c r="AA23" s="4">
        <f t="shared" si="5"/>
        <v>0.22729970326409496</v>
      </c>
      <c r="AB23" s="4">
        <f t="shared" si="5"/>
        <v>2.8486646884272996E-2</v>
      </c>
      <c r="AC23" s="4">
        <f t="shared" si="5"/>
        <v>0.45400593471810091</v>
      </c>
      <c r="AD23" s="4">
        <f t="shared" si="5"/>
        <v>0.46468842729970328</v>
      </c>
      <c r="AE23" s="4">
        <f t="shared" si="5"/>
        <v>8.1305637982195852E-2</v>
      </c>
      <c r="AF23" s="4">
        <f t="shared" si="5"/>
        <v>0.1543026706231454</v>
      </c>
      <c r="AG23" s="4">
        <f t="shared" si="5"/>
        <v>0.38041543026706232</v>
      </c>
      <c r="AH23" s="4">
        <f t="shared" si="5"/>
        <v>0.30623145400593471</v>
      </c>
      <c r="AI23" s="4">
        <f t="shared" si="5"/>
        <v>0.11513353115727003</v>
      </c>
      <c r="AJ23" s="4">
        <f t="shared" si="5"/>
        <v>0.57922848664688431</v>
      </c>
      <c r="AK23" s="4">
        <f t="shared" si="5"/>
        <v>0.27833827893175073</v>
      </c>
      <c r="AL23" s="4">
        <f t="shared" si="5"/>
        <v>0.19584569732937684</v>
      </c>
      <c r="AM23" s="4">
        <f t="shared" si="5"/>
        <v>0.28783382789317508</v>
      </c>
      <c r="AN23" s="4">
        <f t="shared" si="5"/>
        <v>8.189910979228486E-2</v>
      </c>
      <c r="AO23" s="4">
        <f t="shared" si="5"/>
        <v>4.6884272997032642E-2</v>
      </c>
      <c r="AP23" s="4">
        <f t="shared" si="5"/>
        <v>0.11810089020771514</v>
      </c>
      <c r="AQ23" s="4">
        <f t="shared" si="5"/>
        <v>0.47359050445103856</v>
      </c>
      <c r="AR23" s="4">
        <f t="shared" si="5"/>
        <v>0.24747774480712167</v>
      </c>
      <c r="AS23" s="4">
        <f t="shared" si="5"/>
        <v>0.48308605341246291</v>
      </c>
      <c r="AT23" s="4">
        <f t="shared" si="5"/>
        <v>0.12818991097922849</v>
      </c>
      <c r="AU23" s="4">
        <f t="shared" si="5"/>
        <v>2.0178041543026708E-2</v>
      </c>
      <c r="AV23" s="4">
        <f t="shared" si="5"/>
        <v>0.37329376854599405</v>
      </c>
      <c r="AW23" s="4">
        <f t="shared" si="5"/>
        <v>0.3537091988130564</v>
      </c>
      <c r="AX23" s="4">
        <f t="shared" si="5"/>
        <v>0.40118694362017804</v>
      </c>
      <c r="AY23" s="4">
        <f t="shared" si="5"/>
        <v>0.33946587537091988</v>
      </c>
      <c r="AZ23" s="4">
        <f t="shared" si="5"/>
        <v>0.14124629080118695</v>
      </c>
      <c r="BA23" s="4">
        <f t="shared" si="5"/>
        <v>4.094955489614243E-2</v>
      </c>
      <c r="BB23" s="4">
        <f t="shared" si="5"/>
        <v>0.25103857566765581</v>
      </c>
      <c r="BC23" s="4">
        <f t="shared" si="5"/>
        <v>0.3537091988130564</v>
      </c>
      <c r="BD23" s="4">
        <f t="shared" si="5"/>
        <v>0.2605341246290801</v>
      </c>
      <c r="BE23" s="4">
        <f t="shared" si="5"/>
        <v>0.13471810089020772</v>
      </c>
    </row>
    <row r="24" spans="1:57" s="4" customFormat="1" x14ac:dyDescent="0.25">
      <c r="A24"/>
      <c r="B24"/>
      <c r="C24"/>
      <c r="D24"/>
      <c r="E24" s="2" t="s">
        <v>58</v>
      </c>
      <c r="F24" s="4">
        <f t="shared" si="6"/>
        <v>0.25730577334283677</v>
      </c>
      <c r="G24" s="4">
        <f t="shared" si="5"/>
        <v>0.46756949394155384</v>
      </c>
      <c r="H24" s="4">
        <f t="shared" si="5"/>
        <v>0.16963649322879543</v>
      </c>
      <c r="I24" s="4">
        <f t="shared" si="5"/>
        <v>0.10548823948681398</v>
      </c>
      <c r="J24" s="4">
        <f t="shared" si="5"/>
        <v>0.47897362794012832</v>
      </c>
      <c r="K24" s="4">
        <f t="shared" si="5"/>
        <v>0.46044191019244474</v>
      </c>
      <c r="L24" s="4">
        <f t="shared" si="5"/>
        <v>6.0584461867426942E-2</v>
      </c>
      <c r="M24" s="4">
        <f t="shared" si="5"/>
        <v>0.42551674982181042</v>
      </c>
      <c r="N24" s="4">
        <f t="shared" si="5"/>
        <v>0.74554526015680689</v>
      </c>
      <c r="O24" s="4">
        <f t="shared" si="5"/>
        <v>0.4148253741981468</v>
      </c>
      <c r="P24" s="4">
        <f t="shared" si="5"/>
        <v>0.20669992872416251</v>
      </c>
      <c r="Q24" s="4">
        <f t="shared" si="5"/>
        <v>0.57448325017818958</v>
      </c>
      <c r="R24" s="4">
        <f t="shared" si="5"/>
        <v>0.34212401995723452</v>
      </c>
      <c r="S24" s="4">
        <f t="shared" si="5"/>
        <v>8.339272986457591E-2</v>
      </c>
      <c r="T24" s="4">
        <f t="shared" si="5"/>
        <v>0.3050605844618674</v>
      </c>
      <c r="U24" s="4">
        <f t="shared" si="5"/>
        <v>0.44761225944404848</v>
      </c>
      <c r="V24" s="4">
        <f t="shared" si="5"/>
        <v>0.24732715609408409</v>
      </c>
      <c r="W24" s="4">
        <f t="shared" si="5"/>
        <v>0.48538845331432645</v>
      </c>
      <c r="X24" s="4">
        <f t="shared" si="5"/>
        <v>0.61225944404846755</v>
      </c>
      <c r="Y24" s="4">
        <f t="shared" si="5"/>
        <v>0.47113328581610836</v>
      </c>
      <c r="Z24" s="4">
        <f t="shared" si="5"/>
        <v>0.17747683535281539</v>
      </c>
      <c r="AA24" s="4">
        <f t="shared" si="5"/>
        <v>0.30862437633642198</v>
      </c>
      <c r="AB24" s="4">
        <f t="shared" si="5"/>
        <v>4.2052744119743406E-2</v>
      </c>
      <c r="AC24" s="4">
        <f t="shared" si="5"/>
        <v>0.41268709907341411</v>
      </c>
      <c r="AD24" s="4">
        <f t="shared" si="5"/>
        <v>0.48610121168923737</v>
      </c>
      <c r="AE24" s="4">
        <f t="shared" si="5"/>
        <v>0.10049893086243764</v>
      </c>
      <c r="AF24" s="4">
        <f t="shared" si="5"/>
        <v>0.17533856022808267</v>
      </c>
      <c r="AG24" s="4">
        <f t="shared" si="5"/>
        <v>0.39059158945117606</v>
      </c>
      <c r="AH24" s="4">
        <f t="shared" si="5"/>
        <v>0.26158232359230221</v>
      </c>
      <c r="AI24" s="4">
        <f t="shared" si="5"/>
        <v>0.12829650748396293</v>
      </c>
      <c r="AJ24" s="4">
        <f t="shared" si="5"/>
        <v>0.67498218104062724</v>
      </c>
      <c r="AK24" s="4">
        <f t="shared" si="5"/>
        <v>0.24732715609408409</v>
      </c>
      <c r="AL24" s="4">
        <f t="shared" si="5"/>
        <v>0.18317890235210263</v>
      </c>
      <c r="AM24" s="4">
        <f t="shared" si="5"/>
        <v>0.33499643620812547</v>
      </c>
      <c r="AN24" s="4">
        <f t="shared" si="5"/>
        <v>7.2701354240912328E-2</v>
      </c>
      <c r="AO24" s="4">
        <f t="shared" si="5"/>
        <v>5.48823948681397E-2</v>
      </c>
      <c r="AP24" s="4">
        <f t="shared" si="5"/>
        <v>0.1225944404846757</v>
      </c>
      <c r="AQ24" s="4">
        <f t="shared" si="5"/>
        <v>0.42908054169636495</v>
      </c>
      <c r="AR24" s="4">
        <f t="shared" si="5"/>
        <v>0.24447612259444049</v>
      </c>
      <c r="AS24" s="4">
        <f t="shared" si="5"/>
        <v>0.56450463292943687</v>
      </c>
      <c r="AT24" s="4">
        <f t="shared" si="5"/>
        <v>0.1525302922309337</v>
      </c>
      <c r="AU24" s="4">
        <f t="shared" si="5"/>
        <v>2.7084818246614399E-2</v>
      </c>
      <c r="AV24" s="4">
        <f t="shared" si="5"/>
        <v>0.37776193870277974</v>
      </c>
      <c r="AW24" s="4">
        <f t="shared" si="5"/>
        <v>0.31860299358517463</v>
      </c>
      <c r="AX24" s="4">
        <f t="shared" si="5"/>
        <v>0.45188880969351392</v>
      </c>
      <c r="AY24" s="4">
        <f t="shared" si="5"/>
        <v>0.38132573057733427</v>
      </c>
      <c r="AZ24" s="4">
        <f t="shared" si="5"/>
        <v>0.16108339272986458</v>
      </c>
      <c r="BA24" s="4">
        <f t="shared" si="5"/>
        <v>6.2009978617248752E-2</v>
      </c>
      <c r="BB24" s="4">
        <f t="shared" si="5"/>
        <v>0.23877405559515325</v>
      </c>
      <c r="BC24" s="4">
        <f t="shared" si="5"/>
        <v>0.29365645046329292</v>
      </c>
      <c r="BD24" s="4">
        <f t="shared" si="5"/>
        <v>0.29080541696364931</v>
      </c>
      <c r="BE24" s="4">
        <f t="shared" si="5"/>
        <v>0.1767640769779045</v>
      </c>
    </row>
    <row r="25" spans="1:57" s="4" customFormat="1" x14ac:dyDescent="0.25">
      <c r="A25"/>
      <c r="B25"/>
      <c r="C25"/>
      <c r="D25"/>
      <c r="E25" s="2" t="s">
        <v>59</v>
      </c>
      <c r="F25" s="4">
        <f>F21/$B21</f>
        <v>0.2249093107617896</v>
      </c>
      <c r="G25" s="4">
        <f t="shared" ref="G25:BE25" si="7">G21/$B21</f>
        <v>0.44498186215235791</v>
      </c>
      <c r="H25" s="4">
        <f t="shared" si="7"/>
        <v>0.15538089480048367</v>
      </c>
      <c r="I25" s="4">
        <f t="shared" si="7"/>
        <v>0.17472793228536881</v>
      </c>
      <c r="J25" s="4">
        <f t="shared" si="7"/>
        <v>0.49818621523579204</v>
      </c>
      <c r="K25" s="4">
        <f t="shared" si="7"/>
        <v>0.44981862152357921</v>
      </c>
      <c r="L25" s="4">
        <f t="shared" si="7"/>
        <v>5.1995163240628778E-2</v>
      </c>
      <c r="M25" s="4">
        <f t="shared" si="7"/>
        <v>0.43712212817412333</v>
      </c>
      <c r="N25" s="4">
        <f t="shared" si="7"/>
        <v>0.80471584038694077</v>
      </c>
      <c r="O25" s="4">
        <f t="shared" si="7"/>
        <v>0.34945586457073763</v>
      </c>
      <c r="P25" s="4">
        <f t="shared" si="7"/>
        <v>0.21886336154776301</v>
      </c>
      <c r="Q25" s="4">
        <f t="shared" si="7"/>
        <v>0.58827085852478844</v>
      </c>
      <c r="R25" s="4">
        <f t="shared" si="7"/>
        <v>0.32829504232164453</v>
      </c>
      <c r="S25" s="4">
        <f t="shared" si="7"/>
        <v>8.3434099153567115E-2</v>
      </c>
      <c r="T25" s="4">
        <f t="shared" si="7"/>
        <v>0.343409915356711</v>
      </c>
      <c r="U25" s="4">
        <f t="shared" si="7"/>
        <v>0.41354292623941957</v>
      </c>
      <c r="V25" s="4">
        <f t="shared" si="7"/>
        <v>0.2430471584038694</v>
      </c>
      <c r="W25" s="4">
        <f t="shared" si="7"/>
        <v>0.47702539298669894</v>
      </c>
      <c r="X25" s="4">
        <f t="shared" si="7"/>
        <v>0.67654171704957677</v>
      </c>
      <c r="Y25" s="4">
        <f t="shared" si="7"/>
        <v>0.4244256348246675</v>
      </c>
      <c r="Z25" s="4">
        <f t="shared" si="7"/>
        <v>0.1215235792019347</v>
      </c>
      <c r="AA25" s="4">
        <f t="shared" si="7"/>
        <v>0.33313180169286577</v>
      </c>
      <c r="AB25" s="4">
        <f t="shared" si="7"/>
        <v>6.7110036275695284E-2</v>
      </c>
      <c r="AC25" s="4">
        <f t="shared" si="7"/>
        <v>0.40386940749697703</v>
      </c>
      <c r="AD25" s="4">
        <f t="shared" si="7"/>
        <v>0.46432889963724305</v>
      </c>
      <c r="AE25" s="4">
        <f t="shared" si="7"/>
        <v>0.13180169286577992</v>
      </c>
      <c r="AF25" s="4">
        <f t="shared" si="7"/>
        <v>0.25151148730350664</v>
      </c>
      <c r="AG25" s="4">
        <f t="shared" si="7"/>
        <v>0.39177750906892383</v>
      </c>
      <c r="AH25" s="4">
        <f t="shared" si="7"/>
        <v>0.23760580411124546</v>
      </c>
      <c r="AI25" s="4">
        <f t="shared" si="7"/>
        <v>7.9806529625151154E-2</v>
      </c>
      <c r="AJ25" s="4">
        <f t="shared" si="7"/>
        <v>0.75755743651753327</v>
      </c>
      <c r="AK25" s="4">
        <f t="shared" si="7"/>
        <v>0.17533252720677148</v>
      </c>
      <c r="AL25" s="4">
        <f t="shared" si="7"/>
        <v>7.9806529625151154E-2</v>
      </c>
      <c r="AM25" s="4">
        <f t="shared" si="7"/>
        <v>0.29564691656590086</v>
      </c>
      <c r="AN25" s="4">
        <f t="shared" si="7"/>
        <v>4.2926239419588876E-2</v>
      </c>
      <c r="AO25" s="4">
        <f t="shared" si="7"/>
        <v>0.10217654171704958</v>
      </c>
      <c r="AP25" s="4">
        <f t="shared" si="7"/>
        <v>0.1777509068923821</v>
      </c>
      <c r="AQ25" s="4">
        <f t="shared" si="7"/>
        <v>0.3270858524788392</v>
      </c>
      <c r="AR25" s="4">
        <f t="shared" si="7"/>
        <v>0.19830713422007254</v>
      </c>
      <c r="AS25" s="4">
        <f t="shared" si="7"/>
        <v>0.53808948004836754</v>
      </c>
      <c r="AT25" s="4">
        <f t="shared" si="7"/>
        <v>0.14691656590084642</v>
      </c>
      <c r="AU25" s="4">
        <f t="shared" si="7"/>
        <v>5.3808948004836758E-2</v>
      </c>
      <c r="AV25" s="4">
        <f t="shared" si="7"/>
        <v>0.42140266021765416</v>
      </c>
      <c r="AW25" s="4">
        <f t="shared" si="7"/>
        <v>0.279322853688029</v>
      </c>
      <c r="AX25" s="4">
        <f t="shared" si="7"/>
        <v>0.42563482466747277</v>
      </c>
      <c r="AY25" s="4">
        <f t="shared" si="7"/>
        <v>0.34461910519951633</v>
      </c>
      <c r="AZ25" s="4">
        <f t="shared" si="7"/>
        <v>0.13240628778718258</v>
      </c>
      <c r="BA25" s="4">
        <f t="shared" si="7"/>
        <v>0.1154776299879081</v>
      </c>
      <c r="BB25" s="4">
        <f t="shared" si="7"/>
        <v>0.27690447400241835</v>
      </c>
      <c r="BC25" s="4">
        <f t="shared" si="7"/>
        <v>0.27992744860943169</v>
      </c>
      <c r="BD25" s="4">
        <f t="shared" si="7"/>
        <v>0.24969770253929868</v>
      </c>
      <c r="BE25" s="4">
        <f t="shared" si="7"/>
        <v>0.19347037484885127</v>
      </c>
    </row>
    <row r="26" spans="1:57" x14ac:dyDescent="0.25">
      <c r="AF26" s="15"/>
      <c r="AG26" s="15"/>
      <c r="AH26" s="15"/>
      <c r="AI26" s="15"/>
    </row>
    <row r="27" spans="1:57" ht="219" customHeight="1" x14ac:dyDescent="0.25"/>
    <row r="28" spans="1:57" s="3" customFormat="1" ht="17.399999999999999" x14ac:dyDescent="0.25">
      <c r="A28" s="6" t="s">
        <v>63</v>
      </c>
    </row>
    <row r="29" spans="1:57" x14ac:dyDescent="0.25">
      <c r="F29" s="1" t="s">
        <v>75</v>
      </c>
      <c r="G29" s="1" t="s">
        <v>76</v>
      </c>
      <c r="H29" s="1" t="s">
        <v>77</v>
      </c>
      <c r="I29" s="1" t="s">
        <v>78</v>
      </c>
      <c r="J29" s="2" t="s">
        <v>1</v>
      </c>
      <c r="K29" t="s">
        <v>34</v>
      </c>
      <c r="L29" t="s">
        <v>43</v>
      </c>
      <c r="M29" t="s">
        <v>27</v>
      </c>
      <c r="N29" t="s">
        <v>2</v>
      </c>
      <c r="O29" t="s">
        <v>28</v>
      </c>
      <c r="P29" t="s">
        <v>17</v>
      </c>
      <c r="Q29" t="s">
        <v>3</v>
      </c>
      <c r="R29" t="s">
        <v>29</v>
      </c>
      <c r="S29" t="s">
        <v>41</v>
      </c>
      <c r="T29" t="s">
        <v>4</v>
      </c>
      <c r="U29" t="s">
        <v>18</v>
      </c>
      <c r="V29" t="s">
        <v>21</v>
      </c>
      <c r="W29" t="s">
        <v>5</v>
      </c>
      <c r="X29" t="s">
        <v>6</v>
      </c>
      <c r="Y29" t="s">
        <v>7</v>
      </c>
      <c r="Z29" t="s">
        <v>8</v>
      </c>
      <c r="AA29" t="s">
        <v>30</v>
      </c>
      <c r="AB29" t="s">
        <v>79</v>
      </c>
      <c r="AC29" t="s">
        <v>9</v>
      </c>
      <c r="AD29" t="s">
        <v>22</v>
      </c>
      <c r="AE29" t="s">
        <v>36</v>
      </c>
      <c r="AF29" t="s">
        <v>86</v>
      </c>
      <c r="AG29" t="s">
        <v>10</v>
      </c>
      <c r="AH29" t="s">
        <v>39</v>
      </c>
      <c r="AI29" t="s">
        <v>23</v>
      </c>
      <c r="AJ29" t="s">
        <v>11</v>
      </c>
      <c r="AK29" t="s">
        <v>12</v>
      </c>
      <c r="AL29" t="s">
        <v>37</v>
      </c>
      <c r="AM29" t="s">
        <v>31</v>
      </c>
      <c r="AN29" t="s">
        <v>38</v>
      </c>
      <c r="AO29" t="s">
        <v>80</v>
      </c>
      <c r="AP29" t="s">
        <v>85</v>
      </c>
      <c r="AQ29" t="s">
        <v>19</v>
      </c>
      <c r="AR29" t="s">
        <v>32</v>
      </c>
      <c r="AS29" t="s">
        <v>13</v>
      </c>
      <c r="AT29" t="s">
        <v>81</v>
      </c>
      <c r="AU29" t="s">
        <v>82</v>
      </c>
      <c r="AV29" t="s">
        <v>24</v>
      </c>
      <c r="AW29" t="s">
        <v>35</v>
      </c>
      <c r="AX29" t="s">
        <v>14</v>
      </c>
      <c r="AY29" t="s">
        <v>25</v>
      </c>
      <c r="AZ29" t="s">
        <v>83</v>
      </c>
      <c r="BA29" t="s">
        <v>84</v>
      </c>
      <c r="BB29" t="s">
        <v>40</v>
      </c>
      <c r="BC29" t="s">
        <v>33</v>
      </c>
      <c r="BD29" t="s">
        <v>15</v>
      </c>
      <c r="BE29" t="s">
        <v>26</v>
      </c>
    </row>
    <row r="30" spans="1:57" x14ac:dyDescent="0.25">
      <c r="A30" s="10" t="s">
        <v>88</v>
      </c>
      <c r="B30" s="8">
        <f>SUM(F30:I30)</f>
        <v>646</v>
      </c>
      <c r="D30" t="s">
        <v>16</v>
      </c>
      <c r="E30" s="2" t="s">
        <v>64</v>
      </c>
      <c r="F30">
        <v>185</v>
      </c>
      <c r="G30">
        <v>202</v>
      </c>
      <c r="H30">
        <v>187</v>
      </c>
      <c r="I30">
        <v>72</v>
      </c>
      <c r="J30">
        <v>252</v>
      </c>
      <c r="K30">
        <v>331</v>
      </c>
      <c r="L30">
        <v>63</v>
      </c>
      <c r="M30">
        <v>290</v>
      </c>
      <c r="N30">
        <v>363</v>
      </c>
      <c r="O30">
        <v>139</v>
      </c>
      <c r="P30">
        <v>71</v>
      </c>
      <c r="Q30">
        <v>336</v>
      </c>
      <c r="R30">
        <v>240</v>
      </c>
      <c r="S30">
        <v>70</v>
      </c>
      <c r="T30">
        <v>298</v>
      </c>
      <c r="U30">
        <v>251</v>
      </c>
      <c r="V30">
        <v>97</v>
      </c>
      <c r="W30">
        <v>259</v>
      </c>
      <c r="X30">
        <v>345</v>
      </c>
      <c r="Y30">
        <v>142</v>
      </c>
      <c r="Z30">
        <v>56</v>
      </c>
      <c r="AA30">
        <v>91</v>
      </c>
      <c r="AB30">
        <v>40</v>
      </c>
      <c r="AC30">
        <v>288</v>
      </c>
      <c r="AD30">
        <v>226</v>
      </c>
      <c r="AE30">
        <v>132</v>
      </c>
      <c r="AF30">
        <v>289</v>
      </c>
      <c r="AG30">
        <v>257</v>
      </c>
      <c r="AH30">
        <v>70</v>
      </c>
      <c r="AI30">
        <v>17</v>
      </c>
      <c r="AJ30">
        <v>353</v>
      </c>
      <c r="AK30">
        <v>96</v>
      </c>
      <c r="AL30">
        <v>63</v>
      </c>
      <c r="AM30">
        <v>130</v>
      </c>
      <c r="AN30">
        <v>81</v>
      </c>
      <c r="AO30">
        <v>76</v>
      </c>
      <c r="AP30">
        <v>206</v>
      </c>
      <c r="AQ30">
        <v>253</v>
      </c>
      <c r="AR30">
        <v>105</v>
      </c>
      <c r="AS30">
        <v>149</v>
      </c>
      <c r="AT30">
        <v>55</v>
      </c>
      <c r="AU30">
        <v>31</v>
      </c>
      <c r="AV30">
        <v>286</v>
      </c>
      <c r="AW30">
        <v>218</v>
      </c>
      <c r="AX30">
        <v>159</v>
      </c>
      <c r="AY30">
        <v>133</v>
      </c>
      <c r="AZ30">
        <v>55</v>
      </c>
      <c r="BA30">
        <v>54</v>
      </c>
      <c r="BB30">
        <v>354</v>
      </c>
      <c r="BC30">
        <v>212</v>
      </c>
      <c r="BD30">
        <v>55</v>
      </c>
      <c r="BE30">
        <v>25</v>
      </c>
    </row>
    <row r="31" spans="1:57" x14ac:dyDescent="0.25">
      <c r="A31" s="8"/>
      <c r="B31" s="8">
        <f t="shared" ref="B31:B33" si="8">SUM(F31:I31)</f>
        <v>1305</v>
      </c>
      <c r="D31" t="s">
        <v>42</v>
      </c>
      <c r="E31" s="2" t="s">
        <v>65</v>
      </c>
      <c r="F31">
        <v>194</v>
      </c>
      <c r="G31">
        <v>712</v>
      </c>
      <c r="H31">
        <v>307</v>
      </c>
      <c r="I31">
        <v>92</v>
      </c>
      <c r="J31">
        <v>426</v>
      </c>
      <c r="K31">
        <v>791</v>
      </c>
      <c r="L31">
        <v>88</v>
      </c>
      <c r="M31">
        <v>486</v>
      </c>
      <c r="N31">
        <v>894</v>
      </c>
      <c r="O31">
        <v>509</v>
      </c>
      <c r="P31">
        <v>222</v>
      </c>
      <c r="Q31">
        <v>599</v>
      </c>
      <c r="R31">
        <v>583</v>
      </c>
      <c r="S31">
        <v>123</v>
      </c>
      <c r="T31">
        <v>364</v>
      </c>
      <c r="U31">
        <v>690</v>
      </c>
      <c r="V31">
        <v>251</v>
      </c>
      <c r="W31">
        <v>460</v>
      </c>
      <c r="X31">
        <v>831</v>
      </c>
      <c r="Y31">
        <v>556</v>
      </c>
      <c r="Z31">
        <v>191</v>
      </c>
      <c r="AA31">
        <v>301</v>
      </c>
      <c r="AB31">
        <v>50</v>
      </c>
      <c r="AC31">
        <v>457</v>
      </c>
      <c r="AD31">
        <v>713</v>
      </c>
      <c r="AE31">
        <v>133</v>
      </c>
      <c r="AF31">
        <v>252</v>
      </c>
      <c r="AG31">
        <v>583</v>
      </c>
      <c r="AH31">
        <v>355</v>
      </c>
      <c r="AI31">
        <v>94</v>
      </c>
      <c r="AJ31">
        <v>728</v>
      </c>
      <c r="AK31">
        <v>338</v>
      </c>
      <c r="AL31">
        <v>295</v>
      </c>
      <c r="AM31">
        <v>378</v>
      </c>
      <c r="AN31">
        <v>68</v>
      </c>
      <c r="AO31">
        <v>80</v>
      </c>
      <c r="AP31">
        <v>188</v>
      </c>
      <c r="AQ31">
        <v>516</v>
      </c>
      <c r="AR31">
        <v>346</v>
      </c>
      <c r="AS31">
        <v>600</v>
      </c>
      <c r="AT31">
        <v>159</v>
      </c>
      <c r="AU31">
        <v>46</v>
      </c>
      <c r="AV31">
        <v>449</v>
      </c>
      <c r="AW31">
        <v>487</v>
      </c>
      <c r="AX31">
        <v>527</v>
      </c>
      <c r="AY31">
        <v>403</v>
      </c>
      <c r="AZ31">
        <v>157</v>
      </c>
      <c r="BA31">
        <v>75</v>
      </c>
      <c r="BB31">
        <v>351</v>
      </c>
      <c r="BC31">
        <v>532</v>
      </c>
      <c r="BD31">
        <v>338</v>
      </c>
      <c r="BE31">
        <v>84</v>
      </c>
    </row>
    <row r="32" spans="1:57" x14ac:dyDescent="0.25">
      <c r="A32" s="8"/>
      <c r="B32" s="8">
        <f t="shared" si="8"/>
        <v>1370</v>
      </c>
      <c r="D32" t="s">
        <v>20</v>
      </c>
      <c r="E32" s="2" t="s">
        <v>66</v>
      </c>
      <c r="F32">
        <v>273</v>
      </c>
      <c r="G32">
        <v>702</v>
      </c>
      <c r="H32">
        <v>258</v>
      </c>
      <c r="I32">
        <v>137</v>
      </c>
      <c r="J32">
        <v>574</v>
      </c>
      <c r="K32">
        <v>693</v>
      </c>
      <c r="L32">
        <v>103</v>
      </c>
      <c r="M32">
        <v>546</v>
      </c>
      <c r="N32">
        <v>1023</v>
      </c>
      <c r="O32">
        <v>520</v>
      </c>
      <c r="P32">
        <v>302</v>
      </c>
      <c r="Q32">
        <v>726</v>
      </c>
      <c r="R32">
        <v>498</v>
      </c>
      <c r="S32">
        <v>146</v>
      </c>
      <c r="T32">
        <v>412</v>
      </c>
      <c r="U32">
        <v>655</v>
      </c>
      <c r="V32">
        <v>303</v>
      </c>
      <c r="W32">
        <v>603</v>
      </c>
      <c r="X32">
        <v>849</v>
      </c>
      <c r="Y32">
        <v>670</v>
      </c>
      <c r="Z32">
        <v>226</v>
      </c>
      <c r="AA32">
        <v>374</v>
      </c>
      <c r="AB32">
        <v>48</v>
      </c>
      <c r="AC32">
        <v>485</v>
      </c>
      <c r="AD32">
        <v>731</v>
      </c>
      <c r="AE32">
        <v>154</v>
      </c>
      <c r="AF32">
        <v>202</v>
      </c>
      <c r="AG32">
        <v>497</v>
      </c>
      <c r="AH32">
        <v>453</v>
      </c>
      <c r="AI32">
        <v>188</v>
      </c>
      <c r="AJ32">
        <v>911</v>
      </c>
      <c r="AK32">
        <v>337</v>
      </c>
      <c r="AL32">
        <v>234</v>
      </c>
      <c r="AM32">
        <v>399</v>
      </c>
      <c r="AN32">
        <v>94</v>
      </c>
      <c r="AO32">
        <v>64</v>
      </c>
      <c r="AP32">
        <v>158</v>
      </c>
      <c r="AQ32">
        <v>559</v>
      </c>
      <c r="AR32">
        <v>333</v>
      </c>
      <c r="AS32">
        <v>742</v>
      </c>
      <c r="AT32">
        <v>196</v>
      </c>
      <c r="AU32">
        <v>38</v>
      </c>
      <c r="AV32">
        <v>472</v>
      </c>
      <c r="AW32">
        <v>442</v>
      </c>
      <c r="AX32">
        <v>642</v>
      </c>
      <c r="AY32">
        <v>499</v>
      </c>
      <c r="AZ32">
        <v>213</v>
      </c>
      <c r="BA32">
        <v>80</v>
      </c>
      <c r="BB32">
        <v>278</v>
      </c>
      <c r="BC32">
        <v>468</v>
      </c>
      <c r="BD32">
        <v>439</v>
      </c>
      <c r="BE32">
        <v>185</v>
      </c>
    </row>
    <row r="33" spans="1:57" x14ac:dyDescent="0.25">
      <c r="A33" s="8"/>
      <c r="B33" s="8">
        <f t="shared" si="8"/>
        <v>2100</v>
      </c>
      <c r="D33" t="s">
        <v>0</v>
      </c>
      <c r="E33" s="2" t="s">
        <v>67</v>
      </c>
      <c r="F33">
        <v>800</v>
      </c>
      <c r="G33">
        <v>856</v>
      </c>
      <c r="H33">
        <v>121</v>
      </c>
      <c r="I33">
        <v>323</v>
      </c>
      <c r="J33">
        <v>1370</v>
      </c>
      <c r="K33">
        <v>671</v>
      </c>
      <c r="L33">
        <v>59</v>
      </c>
      <c r="M33">
        <v>1003</v>
      </c>
      <c r="N33">
        <v>1730</v>
      </c>
      <c r="O33">
        <v>822</v>
      </c>
      <c r="P33">
        <v>539</v>
      </c>
      <c r="Q33">
        <v>1410</v>
      </c>
      <c r="R33">
        <v>566</v>
      </c>
      <c r="S33">
        <v>124</v>
      </c>
      <c r="T33">
        <v>754</v>
      </c>
      <c r="U33">
        <v>766</v>
      </c>
      <c r="V33">
        <v>580</v>
      </c>
      <c r="W33">
        <v>1202</v>
      </c>
      <c r="X33">
        <v>1332</v>
      </c>
      <c r="Y33">
        <v>1086</v>
      </c>
      <c r="Z33">
        <v>359</v>
      </c>
      <c r="AA33">
        <v>745</v>
      </c>
      <c r="AB33">
        <v>106</v>
      </c>
      <c r="AC33">
        <v>1072</v>
      </c>
      <c r="AD33">
        <v>857</v>
      </c>
      <c r="AE33">
        <v>171</v>
      </c>
      <c r="AF33">
        <v>355</v>
      </c>
      <c r="AG33">
        <v>771</v>
      </c>
      <c r="AH33">
        <v>544</v>
      </c>
      <c r="AI33">
        <v>269</v>
      </c>
      <c r="AJ33">
        <v>1636</v>
      </c>
      <c r="AK33">
        <v>474</v>
      </c>
      <c r="AL33">
        <v>249</v>
      </c>
      <c r="AM33">
        <v>695</v>
      </c>
      <c r="AN33">
        <v>110</v>
      </c>
      <c r="AO33">
        <v>139</v>
      </c>
      <c r="AP33">
        <v>263</v>
      </c>
      <c r="AQ33">
        <v>836</v>
      </c>
      <c r="AR33">
        <v>470</v>
      </c>
      <c r="AS33">
        <v>1300</v>
      </c>
      <c r="AT33">
        <v>349</v>
      </c>
      <c r="AU33">
        <v>71</v>
      </c>
      <c r="AV33">
        <v>909</v>
      </c>
      <c r="AW33">
        <v>585</v>
      </c>
      <c r="AX33">
        <v>935</v>
      </c>
      <c r="AY33">
        <v>837</v>
      </c>
      <c r="AZ33">
        <v>347</v>
      </c>
      <c r="BA33">
        <v>172</v>
      </c>
      <c r="BB33">
        <v>455</v>
      </c>
      <c r="BC33">
        <v>490</v>
      </c>
      <c r="BD33">
        <v>579</v>
      </c>
      <c r="BE33">
        <v>576</v>
      </c>
    </row>
    <row r="34" spans="1:57" s="4" customFormat="1" x14ac:dyDescent="0.25">
      <c r="A34"/>
      <c r="B34"/>
      <c r="C34"/>
      <c r="D34"/>
      <c r="E34" s="2" t="s">
        <v>64</v>
      </c>
      <c r="F34" s="4">
        <f>F30/$B30</f>
        <v>0.28637770897832815</v>
      </c>
      <c r="G34" s="4">
        <f t="shared" ref="G34:BE37" si="9">G30/$B30</f>
        <v>0.31269349845201239</v>
      </c>
      <c r="H34" s="4">
        <f t="shared" si="9"/>
        <v>0.28947368421052633</v>
      </c>
      <c r="I34" s="4">
        <f t="shared" si="9"/>
        <v>0.11145510835913312</v>
      </c>
      <c r="J34" s="4">
        <f t="shared" si="9"/>
        <v>0.39009287925696595</v>
      </c>
      <c r="K34" s="4">
        <f t="shared" si="9"/>
        <v>0.5123839009287926</v>
      </c>
      <c r="L34" s="4">
        <f t="shared" si="9"/>
        <v>9.7523219814241488E-2</v>
      </c>
      <c r="M34" s="4">
        <f t="shared" si="9"/>
        <v>0.44891640866873067</v>
      </c>
      <c r="N34" s="4">
        <f t="shared" si="9"/>
        <v>0.5619195046439629</v>
      </c>
      <c r="O34" s="4">
        <f t="shared" si="9"/>
        <v>0.21517027863777088</v>
      </c>
      <c r="P34" s="4">
        <f t="shared" si="9"/>
        <v>0.10990712074303406</v>
      </c>
      <c r="Q34" s="4">
        <f t="shared" si="9"/>
        <v>0.52012383900928794</v>
      </c>
      <c r="R34" s="4">
        <f t="shared" si="9"/>
        <v>0.37151702786377711</v>
      </c>
      <c r="S34" s="4">
        <f t="shared" si="9"/>
        <v>0.10835913312693499</v>
      </c>
      <c r="T34" s="4">
        <f t="shared" si="9"/>
        <v>0.46130030959752322</v>
      </c>
      <c r="U34" s="4">
        <f t="shared" si="9"/>
        <v>0.38854489164086686</v>
      </c>
      <c r="V34" s="4">
        <f t="shared" si="9"/>
        <v>0.15015479876160992</v>
      </c>
      <c r="W34" s="4">
        <f t="shared" si="9"/>
        <v>0.40092879256965946</v>
      </c>
      <c r="X34" s="4">
        <f t="shared" si="9"/>
        <v>0.53405572755417952</v>
      </c>
      <c r="Y34" s="4">
        <f t="shared" si="9"/>
        <v>0.21981424148606812</v>
      </c>
      <c r="Z34" s="4">
        <f t="shared" si="9"/>
        <v>8.6687306501547989E-2</v>
      </c>
      <c r="AA34" s="4">
        <f t="shared" si="9"/>
        <v>0.14086687306501547</v>
      </c>
      <c r="AB34" s="4">
        <f t="shared" si="9"/>
        <v>6.1919504643962849E-2</v>
      </c>
      <c r="AC34" s="4">
        <f t="shared" si="9"/>
        <v>0.44582043343653249</v>
      </c>
      <c r="AD34" s="4">
        <f t="shared" si="9"/>
        <v>0.34984520123839008</v>
      </c>
      <c r="AE34" s="4">
        <f t="shared" si="9"/>
        <v>0.2043343653250774</v>
      </c>
      <c r="AF34" s="4">
        <f t="shared" si="9"/>
        <v>0.44736842105263158</v>
      </c>
      <c r="AG34" s="4">
        <f t="shared" si="9"/>
        <v>0.39783281733746129</v>
      </c>
      <c r="AH34" s="4">
        <f t="shared" si="9"/>
        <v>0.10835913312693499</v>
      </c>
      <c r="AI34" s="4">
        <f t="shared" si="9"/>
        <v>2.6315789473684209E-2</v>
      </c>
      <c r="AJ34" s="4">
        <f t="shared" si="9"/>
        <v>0.54643962848297212</v>
      </c>
      <c r="AK34" s="4">
        <f t="shared" si="9"/>
        <v>0.14860681114551083</v>
      </c>
      <c r="AL34" s="4">
        <f t="shared" si="9"/>
        <v>9.7523219814241488E-2</v>
      </c>
      <c r="AM34" s="4">
        <f t="shared" si="9"/>
        <v>0.20123839009287925</v>
      </c>
      <c r="AN34" s="4">
        <f t="shared" si="9"/>
        <v>0.12538699690402477</v>
      </c>
      <c r="AO34" s="4">
        <f t="shared" si="9"/>
        <v>0.11764705882352941</v>
      </c>
      <c r="AP34" s="4">
        <f t="shared" si="9"/>
        <v>0.31888544891640869</v>
      </c>
      <c r="AQ34" s="4">
        <f t="shared" si="9"/>
        <v>0.39164086687306504</v>
      </c>
      <c r="AR34" s="4">
        <f t="shared" si="9"/>
        <v>0.16253869969040247</v>
      </c>
      <c r="AS34" s="4">
        <f t="shared" si="9"/>
        <v>0.23065015479876161</v>
      </c>
      <c r="AT34" s="4">
        <f t="shared" si="9"/>
        <v>8.5139318885448914E-2</v>
      </c>
      <c r="AU34" s="4">
        <f t="shared" si="9"/>
        <v>4.7987616099071206E-2</v>
      </c>
      <c r="AV34" s="4">
        <f t="shared" si="9"/>
        <v>0.44272445820433437</v>
      </c>
      <c r="AW34" s="4">
        <f t="shared" si="9"/>
        <v>0.33746130030959753</v>
      </c>
      <c r="AX34" s="4">
        <f t="shared" si="9"/>
        <v>0.24613003095975233</v>
      </c>
      <c r="AY34" s="4">
        <f t="shared" si="9"/>
        <v>0.20588235294117646</v>
      </c>
      <c r="AZ34" s="4">
        <f t="shared" si="9"/>
        <v>8.5139318885448914E-2</v>
      </c>
      <c r="BA34" s="4">
        <f t="shared" si="9"/>
        <v>8.3591331269349839E-2</v>
      </c>
      <c r="BB34" s="4">
        <f t="shared" si="9"/>
        <v>0.54798761609907121</v>
      </c>
      <c r="BC34" s="4">
        <f t="shared" si="9"/>
        <v>0.32817337461300311</v>
      </c>
      <c r="BD34" s="4">
        <f t="shared" si="9"/>
        <v>8.5139318885448914E-2</v>
      </c>
      <c r="BE34" s="4">
        <f t="shared" si="9"/>
        <v>3.8699690402476783E-2</v>
      </c>
    </row>
    <row r="35" spans="1:57" s="4" customFormat="1" x14ac:dyDescent="0.25">
      <c r="A35"/>
      <c r="B35"/>
      <c r="C35"/>
      <c r="D35"/>
      <c r="E35" s="2" t="s">
        <v>65</v>
      </c>
      <c r="F35" s="4">
        <f t="shared" ref="F35:U37" si="10">F31/$B31</f>
        <v>0.14865900383141761</v>
      </c>
      <c r="G35" s="4">
        <f t="shared" si="10"/>
        <v>0.5455938697318008</v>
      </c>
      <c r="H35" s="4">
        <f t="shared" si="10"/>
        <v>0.23524904214559386</v>
      </c>
      <c r="I35" s="4">
        <f t="shared" si="10"/>
        <v>7.0498084291187743E-2</v>
      </c>
      <c r="J35" s="4">
        <f t="shared" si="10"/>
        <v>0.32643678160919543</v>
      </c>
      <c r="K35" s="4">
        <f t="shared" si="10"/>
        <v>0.60613026819923377</v>
      </c>
      <c r="L35" s="4">
        <f t="shared" si="10"/>
        <v>6.7432950191570876E-2</v>
      </c>
      <c r="M35" s="4">
        <f t="shared" si="10"/>
        <v>0.3724137931034483</v>
      </c>
      <c r="N35" s="4">
        <f t="shared" si="10"/>
        <v>0.68505747126436778</v>
      </c>
      <c r="O35" s="4">
        <f t="shared" si="10"/>
        <v>0.39003831417624524</v>
      </c>
      <c r="P35" s="4">
        <f t="shared" si="10"/>
        <v>0.17011494252873563</v>
      </c>
      <c r="Q35" s="4">
        <f t="shared" si="10"/>
        <v>0.45900383141762452</v>
      </c>
      <c r="R35" s="4">
        <f t="shared" si="10"/>
        <v>0.44674329501915711</v>
      </c>
      <c r="S35" s="4">
        <f t="shared" si="10"/>
        <v>9.4252873563218389E-2</v>
      </c>
      <c r="T35" s="4">
        <f t="shared" si="10"/>
        <v>0.27892720306513408</v>
      </c>
      <c r="U35" s="4">
        <f t="shared" si="10"/>
        <v>0.52873563218390807</v>
      </c>
      <c r="V35" s="4">
        <f t="shared" si="9"/>
        <v>0.19233716475095786</v>
      </c>
      <c r="W35" s="4">
        <f t="shared" si="9"/>
        <v>0.35249042145593867</v>
      </c>
      <c r="X35" s="4">
        <f t="shared" si="9"/>
        <v>0.63678160919540228</v>
      </c>
      <c r="Y35" s="4">
        <f t="shared" si="9"/>
        <v>0.42605363984674327</v>
      </c>
      <c r="Z35" s="4">
        <f t="shared" si="9"/>
        <v>0.14636015325670498</v>
      </c>
      <c r="AA35" s="4">
        <f t="shared" si="9"/>
        <v>0.23065134099616857</v>
      </c>
      <c r="AB35" s="4">
        <f t="shared" si="9"/>
        <v>3.8314176245210725E-2</v>
      </c>
      <c r="AC35" s="4">
        <f t="shared" si="9"/>
        <v>0.35019157088122604</v>
      </c>
      <c r="AD35" s="4">
        <f t="shared" si="9"/>
        <v>0.54636015325670495</v>
      </c>
      <c r="AE35" s="4">
        <f t="shared" si="9"/>
        <v>0.10191570881226053</v>
      </c>
      <c r="AF35" s="4">
        <f t="shared" si="9"/>
        <v>0.19310344827586207</v>
      </c>
      <c r="AG35" s="4">
        <f t="shared" si="9"/>
        <v>0.44674329501915711</v>
      </c>
      <c r="AH35" s="4">
        <f t="shared" si="9"/>
        <v>0.27203065134099619</v>
      </c>
      <c r="AI35" s="4">
        <f t="shared" si="9"/>
        <v>7.2030651340996163E-2</v>
      </c>
      <c r="AJ35" s="4">
        <f t="shared" si="9"/>
        <v>0.55785440613026815</v>
      </c>
      <c r="AK35" s="4">
        <f t="shared" si="9"/>
        <v>0.25900383141762451</v>
      </c>
      <c r="AL35" s="4">
        <f t="shared" si="9"/>
        <v>0.22605363984674329</v>
      </c>
      <c r="AM35" s="4">
        <f t="shared" si="9"/>
        <v>0.28965517241379313</v>
      </c>
      <c r="AN35" s="4">
        <f t="shared" si="9"/>
        <v>5.2107279693486587E-2</v>
      </c>
      <c r="AO35" s="4">
        <f t="shared" si="9"/>
        <v>6.1302681992337162E-2</v>
      </c>
      <c r="AP35" s="4">
        <f t="shared" si="9"/>
        <v>0.14406130268199233</v>
      </c>
      <c r="AQ35" s="4">
        <f t="shared" si="9"/>
        <v>0.39540229885057471</v>
      </c>
      <c r="AR35" s="4">
        <f t="shared" si="9"/>
        <v>0.26513409961685824</v>
      </c>
      <c r="AS35" s="4">
        <f t="shared" si="9"/>
        <v>0.45977011494252873</v>
      </c>
      <c r="AT35" s="4">
        <f t="shared" si="9"/>
        <v>0.12183908045977011</v>
      </c>
      <c r="AU35" s="4">
        <f t="shared" si="9"/>
        <v>3.5249042145593872E-2</v>
      </c>
      <c r="AV35" s="4">
        <f t="shared" si="9"/>
        <v>0.34406130268199236</v>
      </c>
      <c r="AW35" s="4">
        <f t="shared" si="9"/>
        <v>0.37318007662835251</v>
      </c>
      <c r="AX35" s="4">
        <f t="shared" si="9"/>
        <v>0.40383141762452107</v>
      </c>
      <c r="AY35" s="4">
        <f t="shared" si="9"/>
        <v>0.30881226053639849</v>
      </c>
      <c r="AZ35" s="4">
        <f t="shared" si="9"/>
        <v>0.12030651340996168</v>
      </c>
      <c r="BA35" s="4">
        <f t="shared" si="9"/>
        <v>5.7471264367816091E-2</v>
      </c>
      <c r="BB35" s="4">
        <f t="shared" si="9"/>
        <v>0.26896551724137929</v>
      </c>
      <c r="BC35" s="4">
        <f t="shared" si="9"/>
        <v>0.40766283524904212</v>
      </c>
      <c r="BD35" s="4">
        <f t="shared" si="9"/>
        <v>0.25900383141762451</v>
      </c>
      <c r="BE35" s="4">
        <f t="shared" si="9"/>
        <v>6.4367816091954022E-2</v>
      </c>
    </row>
    <row r="36" spans="1:57" s="4" customFormat="1" x14ac:dyDescent="0.25">
      <c r="A36"/>
      <c r="B36"/>
      <c r="C36"/>
      <c r="D36"/>
      <c r="E36" s="2" t="s">
        <v>66</v>
      </c>
      <c r="F36" s="4">
        <f t="shared" si="10"/>
        <v>0.19927007299270072</v>
      </c>
      <c r="G36" s="4">
        <f t="shared" si="9"/>
        <v>0.51240875912408756</v>
      </c>
      <c r="H36" s="4">
        <f t="shared" si="9"/>
        <v>0.18832116788321168</v>
      </c>
      <c r="I36" s="4">
        <f t="shared" si="9"/>
        <v>0.1</v>
      </c>
      <c r="J36" s="4">
        <f t="shared" si="9"/>
        <v>0.41897810218978104</v>
      </c>
      <c r="K36" s="4">
        <f t="shared" si="9"/>
        <v>0.50583941605839411</v>
      </c>
      <c r="L36" s="4">
        <f t="shared" si="9"/>
        <v>7.518248175182482E-2</v>
      </c>
      <c r="M36" s="4">
        <f t="shared" si="9"/>
        <v>0.39854014598540144</v>
      </c>
      <c r="N36" s="4">
        <f t="shared" si="9"/>
        <v>0.74671532846715327</v>
      </c>
      <c r="O36" s="4">
        <f t="shared" si="9"/>
        <v>0.37956204379562042</v>
      </c>
      <c r="P36" s="4">
        <f t="shared" si="9"/>
        <v>0.22043795620437956</v>
      </c>
      <c r="Q36" s="4">
        <f t="shared" si="9"/>
        <v>0.52992700729927011</v>
      </c>
      <c r="R36" s="4">
        <f t="shared" si="9"/>
        <v>0.36350364963503651</v>
      </c>
      <c r="S36" s="4">
        <f t="shared" si="9"/>
        <v>0.10656934306569343</v>
      </c>
      <c r="T36" s="4">
        <f t="shared" si="9"/>
        <v>0.30072992700729928</v>
      </c>
      <c r="U36" s="4">
        <f t="shared" si="9"/>
        <v>0.47810218978102192</v>
      </c>
      <c r="V36" s="4">
        <f t="shared" si="9"/>
        <v>0.22116788321167882</v>
      </c>
      <c r="W36" s="4">
        <f t="shared" si="9"/>
        <v>0.44014598540145983</v>
      </c>
      <c r="X36" s="4">
        <f t="shared" si="9"/>
        <v>0.61970802919708035</v>
      </c>
      <c r="Y36" s="4">
        <f t="shared" si="9"/>
        <v>0.48905109489051096</v>
      </c>
      <c r="Z36" s="4">
        <f t="shared" si="9"/>
        <v>0.16496350364963502</v>
      </c>
      <c r="AA36" s="4">
        <f t="shared" si="9"/>
        <v>0.27299270072992698</v>
      </c>
      <c r="AB36" s="4">
        <f t="shared" si="9"/>
        <v>3.5036496350364967E-2</v>
      </c>
      <c r="AC36" s="4">
        <f t="shared" si="9"/>
        <v>0.354014598540146</v>
      </c>
      <c r="AD36" s="4">
        <f t="shared" si="9"/>
        <v>0.5335766423357664</v>
      </c>
      <c r="AE36" s="4">
        <f t="shared" si="9"/>
        <v>0.11240875912408758</v>
      </c>
      <c r="AF36" s="4">
        <f t="shared" si="9"/>
        <v>0.14744525547445256</v>
      </c>
      <c r="AG36" s="4">
        <f t="shared" si="9"/>
        <v>0.36277372262773722</v>
      </c>
      <c r="AH36" s="4">
        <f t="shared" si="9"/>
        <v>0.33065693430656934</v>
      </c>
      <c r="AI36" s="4">
        <f t="shared" si="9"/>
        <v>0.13722627737226278</v>
      </c>
      <c r="AJ36" s="4">
        <f t="shared" si="9"/>
        <v>0.66496350364963508</v>
      </c>
      <c r="AK36" s="4">
        <f t="shared" si="9"/>
        <v>0.24598540145985401</v>
      </c>
      <c r="AL36" s="4">
        <f t="shared" si="9"/>
        <v>0.17080291970802919</v>
      </c>
      <c r="AM36" s="4">
        <f t="shared" si="9"/>
        <v>0.29124087591240877</v>
      </c>
      <c r="AN36" s="4">
        <f t="shared" si="9"/>
        <v>6.8613138686131392E-2</v>
      </c>
      <c r="AO36" s="4">
        <f t="shared" si="9"/>
        <v>4.6715328467153282E-2</v>
      </c>
      <c r="AP36" s="4">
        <f t="shared" si="9"/>
        <v>0.11532846715328467</v>
      </c>
      <c r="AQ36" s="4">
        <f t="shared" si="9"/>
        <v>0.40802919708029195</v>
      </c>
      <c r="AR36" s="4">
        <f t="shared" si="9"/>
        <v>0.24306569343065693</v>
      </c>
      <c r="AS36" s="4">
        <f t="shared" si="9"/>
        <v>0.54160583941605844</v>
      </c>
      <c r="AT36" s="4">
        <f t="shared" si="9"/>
        <v>0.14306569343065692</v>
      </c>
      <c r="AU36" s="4">
        <f t="shared" si="9"/>
        <v>2.7737226277372264E-2</v>
      </c>
      <c r="AV36" s="4">
        <f t="shared" si="9"/>
        <v>0.34452554744525549</v>
      </c>
      <c r="AW36" s="4">
        <f t="shared" si="9"/>
        <v>0.32262773722627736</v>
      </c>
      <c r="AX36" s="4">
        <f t="shared" si="9"/>
        <v>0.46861313868613141</v>
      </c>
      <c r="AY36" s="4">
        <f t="shared" si="9"/>
        <v>0.36423357664233574</v>
      </c>
      <c r="AZ36" s="4">
        <f t="shared" si="9"/>
        <v>0.15547445255474451</v>
      </c>
      <c r="BA36" s="4">
        <f t="shared" si="9"/>
        <v>5.8394160583941604E-2</v>
      </c>
      <c r="BB36" s="4">
        <f t="shared" si="9"/>
        <v>0.20291970802919709</v>
      </c>
      <c r="BC36" s="4">
        <f t="shared" si="9"/>
        <v>0.34160583941605838</v>
      </c>
      <c r="BD36" s="4">
        <f t="shared" si="9"/>
        <v>0.32043795620437954</v>
      </c>
      <c r="BE36" s="4">
        <f t="shared" si="9"/>
        <v>0.13503649635036497</v>
      </c>
    </row>
    <row r="37" spans="1:57" s="4" customFormat="1" x14ac:dyDescent="0.25">
      <c r="A37"/>
      <c r="B37"/>
      <c r="C37"/>
      <c r="D37"/>
      <c r="E37" s="2" t="s">
        <v>67</v>
      </c>
      <c r="F37" s="4">
        <f t="shared" si="10"/>
        <v>0.38095238095238093</v>
      </c>
      <c r="G37" s="4">
        <f t="shared" si="9"/>
        <v>0.4076190476190476</v>
      </c>
      <c r="H37" s="4">
        <f t="shared" si="9"/>
        <v>5.7619047619047618E-2</v>
      </c>
      <c r="I37" s="4">
        <f t="shared" si="9"/>
        <v>0.15380952380952381</v>
      </c>
      <c r="J37" s="4">
        <f t="shared" si="9"/>
        <v>0.65238095238095239</v>
      </c>
      <c r="K37" s="4">
        <f t="shared" si="9"/>
        <v>0.31952380952380954</v>
      </c>
      <c r="L37" s="4">
        <f t="shared" si="9"/>
        <v>2.8095238095238097E-2</v>
      </c>
      <c r="M37" s="4">
        <f t="shared" si="9"/>
        <v>0.47761904761904761</v>
      </c>
      <c r="N37" s="4">
        <f t="shared" si="9"/>
        <v>0.82380952380952377</v>
      </c>
      <c r="O37" s="4">
        <f t="shared" si="9"/>
        <v>0.3914285714285714</v>
      </c>
      <c r="P37" s="4">
        <f t="shared" si="9"/>
        <v>0.25666666666666665</v>
      </c>
      <c r="Q37" s="4">
        <f t="shared" si="9"/>
        <v>0.67142857142857137</v>
      </c>
      <c r="R37" s="4">
        <f t="shared" si="9"/>
        <v>0.2695238095238095</v>
      </c>
      <c r="S37" s="4">
        <f t="shared" si="9"/>
        <v>5.904761904761905E-2</v>
      </c>
      <c r="T37" s="4">
        <f t="shared" si="9"/>
        <v>0.35904761904761906</v>
      </c>
      <c r="U37" s="4">
        <f t="shared" si="9"/>
        <v>0.36476190476190479</v>
      </c>
      <c r="V37" s="4">
        <f t="shared" si="9"/>
        <v>0.27619047619047621</v>
      </c>
      <c r="W37" s="4">
        <f t="shared" si="9"/>
        <v>0.57238095238095243</v>
      </c>
      <c r="X37" s="4">
        <f t="shared" si="9"/>
        <v>0.63428571428571423</v>
      </c>
      <c r="Y37" s="4">
        <f t="shared" si="9"/>
        <v>0.51714285714285713</v>
      </c>
      <c r="Z37" s="4">
        <f t="shared" si="9"/>
        <v>0.17095238095238094</v>
      </c>
      <c r="AA37" s="4">
        <f t="shared" si="9"/>
        <v>0.35476190476190478</v>
      </c>
      <c r="AB37" s="4">
        <f t="shared" si="9"/>
        <v>5.0476190476190473E-2</v>
      </c>
      <c r="AC37" s="4">
        <f t="shared" si="9"/>
        <v>0.51047619047619053</v>
      </c>
      <c r="AD37" s="4">
        <f t="shared" si="9"/>
        <v>0.40809523809523812</v>
      </c>
      <c r="AE37" s="4">
        <f t="shared" si="9"/>
        <v>8.1428571428571433E-2</v>
      </c>
      <c r="AF37" s="4">
        <f t="shared" si="9"/>
        <v>0.16904761904761906</v>
      </c>
      <c r="AG37" s="4">
        <f t="shared" si="9"/>
        <v>0.36714285714285716</v>
      </c>
      <c r="AH37" s="4">
        <f t="shared" si="9"/>
        <v>0.25904761904761903</v>
      </c>
      <c r="AI37" s="4">
        <f t="shared" si="9"/>
        <v>0.1280952380952381</v>
      </c>
      <c r="AJ37" s="4">
        <f t="shared" si="9"/>
        <v>0.7790476190476191</v>
      </c>
      <c r="AK37" s="4">
        <f t="shared" si="9"/>
        <v>0.2257142857142857</v>
      </c>
      <c r="AL37" s="4">
        <f t="shared" si="9"/>
        <v>0.11857142857142858</v>
      </c>
      <c r="AM37" s="4">
        <f t="shared" si="9"/>
        <v>0.33095238095238094</v>
      </c>
      <c r="AN37" s="4">
        <f t="shared" si="9"/>
        <v>5.2380952380952382E-2</v>
      </c>
      <c r="AO37" s="4">
        <f t="shared" si="9"/>
        <v>6.6190476190476188E-2</v>
      </c>
      <c r="AP37" s="4">
        <f t="shared" si="9"/>
        <v>0.12523809523809523</v>
      </c>
      <c r="AQ37" s="4">
        <f t="shared" si="9"/>
        <v>0.39809523809523811</v>
      </c>
      <c r="AR37" s="4">
        <f t="shared" si="9"/>
        <v>0.22380952380952382</v>
      </c>
      <c r="AS37" s="4">
        <f t="shared" si="9"/>
        <v>0.61904761904761907</v>
      </c>
      <c r="AT37" s="4">
        <f t="shared" si="9"/>
        <v>0.16619047619047619</v>
      </c>
      <c r="AU37" s="4">
        <f t="shared" si="9"/>
        <v>3.380952380952381E-2</v>
      </c>
      <c r="AV37" s="4">
        <f t="shared" si="9"/>
        <v>0.43285714285714288</v>
      </c>
      <c r="AW37" s="4">
        <f t="shared" si="9"/>
        <v>0.27857142857142858</v>
      </c>
      <c r="AX37" s="4">
        <f t="shared" si="9"/>
        <v>0.44523809523809521</v>
      </c>
      <c r="AY37" s="4">
        <f t="shared" si="9"/>
        <v>0.39857142857142858</v>
      </c>
      <c r="AZ37" s="4">
        <f t="shared" si="9"/>
        <v>0.16523809523809524</v>
      </c>
      <c r="BA37" s="4">
        <f t="shared" si="9"/>
        <v>8.1904761904761911E-2</v>
      </c>
      <c r="BB37" s="4">
        <f t="shared" si="9"/>
        <v>0.21666666666666667</v>
      </c>
      <c r="BC37" s="4">
        <f t="shared" si="9"/>
        <v>0.23333333333333334</v>
      </c>
      <c r="BD37" s="4">
        <f t="shared" si="9"/>
        <v>0.27571428571428569</v>
      </c>
      <c r="BE37" s="4">
        <f t="shared" si="9"/>
        <v>0.2742857142857143</v>
      </c>
    </row>
    <row r="38" spans="1:57" x14ac:dyDescent="0.25">
      <c r="E38" s="14" t="s">
        <v>92</v>
      </c>
      <c r="F38" s="4"/>
      <c r="AF38" s="15">
        <f>SUM(AF31:AF33)/SUM($B31:$B33)</f>
        <v>0.1694240837696335</v>
      </c>
      <c r="AG38" s="15">
        <f t="shared" ref="AG38:AI38" si="11">SUM(AG31:AG33)/SUM($B31:$B33)</f>
        <v>0.38764397905759163</v>
      </c>
      <c r="AH38" s="15">
        <f t="shared" si="11"/>
        <v>0.28314136125654449</v>
      </c>
      <c r="AI38" s="15">
        <f t="shared" si="11"/>
        <v>0.11539267015706807</v>
      </c>
    </row>
    <row r="39" spans="1:57" ht="181.05" customHeight="1" x14ac:dyDescent="0.25"/>
    <row r="40" spans="1:57" s="3" customFormat="1" ht="17.399999999999999" x14ac:dyDescent="0.25">
      <c r="A40" s="6" t="s">
        <v>89</v>
      </c>
    </row>
    <row r="41" spans="1:57" x14ac:dyDescent="0.25">
      <c r="F41" s="1" t="s">
        <v>75</v>
      </c>
      <c r="G41" s="1" t="s">
        <v>76</v>
      </c>
      <c r="H41" s="1" t="s">
        <v>77</v>
      </c>
      <c r="I41" s="1" t="s">
        <v>78</v>
      </c>
      <c r="J41" s="2" t="s">
        <v>1</v>
      </c>
      <c r="K41" t="s">
        <v>34</v>
      </c>
      <c r="L41" t="s">
        <v>43</v>
      </c>
      <c r="M41" t="s">
        <v>27</v>
      </c>
      <c r="N41" t="s">
        <v>2</v>
      </c>
      <c r="O41" t="s">
        <v>28</v>
      </c>
      <c r="P41" t="s">
        <v>17</v>
      </c>
      <c r="Q41" t="s">
        <v>3</v>
      </c>
      <c r="R41" t="s">
        <v>29</v>
      </c>
      <c r="S41" t="s">
        <v>41</v>
      </c>
      <c r="T41" t="s">
        <v>4</v>
      </c>
      <c r="U41" t="s">
        <v>18</v>
      </c>
      <c r="V41" t="s">
        <v>21</v>
      </c>
      <c r="W41" t="s">
        <v>5</v>
      </c>
      <c r="X41" t="s">
        <v>6</v>
      </c>
      <c r="Y41" t="s">
        <v>7</v>
      </c>
      <c r="Z41" t="s">
        <v>8</v>
      </c>
      <c r="AA41" t="s">
        <v>30</v>
      </c>
      <c r="AB41" t="s">
        <v>79</v>
      </c>
      <c r="AC41" t="s">
        <v>9</v>
      </c>
      <c r="AD41" t="s">
        <v>22</v>
      </c>
      <c r="AE41" t="s">
        <v>36</v>
      </c>
      <c r="AF41" t="s">
        <v>86</v>
      </c>
      <c r="AG41" t="s">
        <v>10</v>
      </c>
      <c r="AH41" t="s">
        <v>39</v>
      </c>
      <c r="AI41" t="s">
        <v>23</v>
      </c>
      <c r="AJ41" t="s">
        <v>11</v>
      </c>
      <c r="AK41" t="s">
        <v>12</v>
      </c>
      <c r="AL41" t="s">
        <v>37</v>
      </c>
      <c r="AM41" t="s">
        <v>31</v>
      </c>
      <c r="AN41" t="s">
        <v>38</v>
      </c>
      <c r="AO41" t="s">
        <v>80</v>
      </c>
      <c r="AP41" t="s">
        <v>85</v>
      </c>
      <c r="AQ41" t="s">
        <v>19</v>
      </c>
      <c r="AR41" t="s">
        <v>32</v>
      </c>
      <c r="AS41" t="s">
        <v>13</v>
      </c>
      <c r="AT41" t="s">
        <v>81</v>
      </c>
      <c r="AU41" t="s">
        <v>82</v>
      </c>
      <c r="AV41" t="s">
        <v>24</v>
      </c>
      <c r="AW41" t="s">
        <v>35</v>
      </c>
      <c r="AX41" t="s">
        <v>14</v>
      </c>
      <c r="AY41" t="s">
        <v>25</v>
      </c>
      <c r="AZ41" t="s">
        <v>83</v>
      </c>
      <c r="BA41" t="s">
        <v>84</v>
      </c>
      <c r="BB41" t="s">
        <v>40</v>
      </c>
      <c r="BC41" t="s">
        <v>33</v>
      </c>
      <c r="BD41" t="s">
        <v>15</v>
      </c>
      <c r="BE41" t="s">
        <v>26</v>
      </c>
    </row>
    <row r="42" spans="1:57" x14ac:dyDescent="0.25">
      <c r="A42" s="10" t="s">
        <v>88</v>
      </c>
      <c r="B42" s="8">
        <f>SUM(F42:I42)</f>
        <v>453</v>
      </c>
      <c r="D42" s="2" t="s">
        <v>54</v>
      </c>
      <c r="E42" s="2" t="s">
        <v>56</v>
      </c>
      <c r="F42">
        <v>157</v>
      </c>
      <c r="G42">
        <v>161</v>
      </c>
      <c r="H42">
        <v>92</v>
      </c>
      <c r="I42">
        <v>43</v>
      </c>
      <c r="J42">
        <v>227</v>
      </c>
      <c r="K42">
        <v>198</v>
      </c>
      <c r="L42">
        <v>28</v>
      </c>
      <c r="M42">
        <v>204</v>
      </c>
      <c r="N42">
        <v>259</v>
      </c>
      <c r="O42">
        <v>146</v>
      </c>
      <c r="P42">
        <v>77</v>
      </c>
      <c r="Q42">
        <v>257</v>
      </c>
      <c r="R42">
        <v>142</v>
      </c>
      <c r="S42">
        <v>54</v>
      </c>
      <c r="T42">
        <v>182</v>
      </c>
      <c r="U42">
        <v>192</v>
      </c>
      <c r="V42">
        <v>79</v>
      </c>
      <c r="W42">
        <v>207</v>
      </c>
      <c r="X42">
        <v>248</v>
      </c>
      <c r="Y42">
        <v>209</v>
      </c>
      <c r="Z42">
        <v>60</v>
      </c>
      <c r="AA42">
        <v>88</v>
      </c>
      <c r="AB42">
        <v>21</v>
      </c>
      <c r="AC42">
        <v>199</v>
      </c>
      <c r="AD42">
        <v>200</v>
      </c>
      <c r="AE42">
        <v>54</v>
      </c>
      <c r="AF42">
        <v>119</v>
      </c>
      <c r="AG42">
        <v>185</v>
      </c>
      <c r="AH42">
        <v>91</v>
      </c>
      <c r="AI42">
        <v>41</v>
      </c>
      <c r="AJ42">
        <v>286</v>
      </c>
      <c r="AK42">
        <v>92</v>
      </c>
      <c r="AL42">
        <v>91</v>
      </c>
      <c r="AM42">
        <v>87</v>
      </c>
      <c r="AN42">
        <v>35</v>
      </c>
      <c r="AO42">
        <v>21</v>
      </c>
      <c r="AP42">
        <v>100</v>
      </c>
      <c r="AQ42">
        <v>147</v>
      </c>
      <c r="AR42">
        <v>102</v>
      </c>
      <c r="AS42">
        <v>188</v>
      </c>
      <c r="AT42">
        <v>55</v>
      </c>
      <c r="AU42">
        <v>23</v>
      </c>
      <c r="AV42">
        <v>178</v>
      </c>
      <c r="AW42">
        <v>145</v>
      </c>
      <c r="AX42">
        <v>150</v>
      </c>
      <c r="AY42">
        <v>123</v>
      </c>
      <c r="AZ42">
        <v>59</v>
      </c>
      <c r="BA42">
        <v>28</v>
      </c>
      <c r="BB42">
        <v>156</v>
      </c>
      <c r="BC42">
        <v>156</v>
      </c>
      <c r="BD42">
        <v>87</v>
      </c>
      <c r="BE42">
        <v>54</v>
      </c>
    </row>
    <row r="43" spans="1:57" x14ac:dyDescent="0.25">
      <c r="A43" s="8"/>
      <c r="B43" s="8">
        <f>SUM(F43:I43)</f>
        <v>1080</v>
      </c>
      <c r="E43" s="2" t="s">
        <v>57</v>
      </c>
      <c r="F43">
        <v>386</v>
      </c>
      <c r="G43">
        <v>488</v>
      </c>
      <c r="H43">
        <v>134</v>
      </c>
      <c r="I43">
        <v>72</v>
      </c>
      <c r="J43">
        <v>508</v>
      </c>
      <c r="K43">
        <v>513</v>
      </c>
      <c r="L43">
        <v>59</v>
      </c>
      <c r="M43">
        <v>459</v>
      </c>
      <c r="N43">
        <v>751</v>
      </c>
      <c r="O43">
        <v>383</v>
      </c>
      <c r="P43">
        <v>220</v>
      </c>
      <c r="Q43">
        <v>591</v>
      </c>
      <c r="R43">
        <v>400</v>
      </c>
      <c r="S43">
        <v>89</v>
      </c>
      <c r="T43">
        <v>400</v>
      </c>
      <c r="U43">
        <v>479</v>
      </c>
      <c r="V43">
        <v>201</v>
      </c>
      <c r="W43">
        <v>501</v>
      </c>
      <c r="X43">
        <v>617</v>
      </c>
      <c r="Y43">
        <v>485</v>
      </c>
      <c r="Z43">
        <v>184</v>
      </c>
      <c r="AA43">
        <v>226</v>
      </c>
      <c r="AB43">
        <v>32</v>
      </c>
      <c r="AC43">
        <v>562</v>
      </c>
      <c r="AD43">
        <v>435</v>
      </c>
      <c r="AE43">
        <v>83</v>
      </c>
      <c r="AF43">
        <v>166</v>
      </c>
      <c r="AG43">
        <v>411</v>
      </c>
      <c r="AH43">
        <v>312</v>
      </c>
      <c r="AI43">
        <v>137</v>
      </c>
      <c r="AJ43">
        <v>611</v>
      </c>
      <c r="AK43">
        <v>275</v>
      </c>
      <c r="AL43">
        <v>215</v>
      </c>
      <c r="AM43">
        <v>311</v>
      </c>
      <c r="AN43">
        <v>109</v>
      </c>
      <c r="AO43">
        <v>56</v>
      </c>
      <c r="AP43">
        <v>128</v>
      </c>
      <c r="AQ43">
        <v>503</v>
      </c>
      <c r="AR43">
        <v>258</v>
      </c>
      <c r="AS43">
        <v>518</v>
      </c>
      <c r="AT43">
        <v>132</v>
      </c>
      <c r="AU43">
        <v>23</v>
      </c>
      <c r="AV43">
        <v>407</v>
      </c>
      <c r="AW43">
        <v>375</v>
      </c>
      <c r="AX43">
        <v>403</v>
      </c>
      <c r="AY43">
        <v>337</v>
      </c>
      <c r="AZ43">
        <v>154</v>
      </c>
      <c r="BA43">
        <v>48</v>
      </c>
      <c r="BB43">
        <v>278</v>
      </c>
      <c r="BC43">
        <v>383</v>
      </c>
      <c r="BD43">
        <v>264</v>
      </c>
      <c r="BE43">
        <v>155</v>
      </c>
    </row>
    <row r="44" spans="1:57" x14ac:dyDescent="0.25">
      <c r="A44" s="8"/>
      <c r="B44" s="8">
        <f t="shared" ref="B44:B48" si="12">SUM(F44:I44)</f>
        <v>818</v>
      </c>
      <c r="E44" s="2" t="s">
        <v>58</v>
      </c>
      <c r="F44">
        <v>240</v>
      </c>
      <c r="G44">
        <v>372</v>
      </c>
      <c r="H44">
        <v>123</v>
      </c>
      <c r="I44">
        <v>83</v>
      </c>
      <c r="J44">
        <v>427</v>
      </c>
      <c r="K44">
        <v>347</v>
      </c>
      <c r="L44">
        <v>44</v>
      </c>
      <c r="M44">
        <v>346</v>
      </c>
      <c r="N44">
        <v>615</v>
      </c>
      <c r="O44">
        <v>337</v>
      </c>
      <c r="P44">
        <v>164</v>
      </c>
      <c r="Q44">
        <v>474</v>
      </c>
      <c r="R44">
        <v>279</v>
      </c>
      <c r="S44">
        <v>65</v>
      </c>
      <c r="T44">
        <v>253</v>
      </c>
      <c r="U44">
        <v>354</v>
      </c>
      <c r="V44">
        <v>211</v>
      </c>
      <c r="W44">
        <v>435</v>
      </c>
      <c r="X44">
        <v>500</v>
      </c>
      <c r="Y44">
        <v>396</v>
      </c>
      <c r="Z44">
        <v>161</v>
      </c>
      <c r="AA44">
        <v>263</v>
      </c>
      <c r="AB44">
        <v>37</v>
      </c>
      <c r="AC44">
        <v>351</v>
      </c>
      <c r="AD44">
        <v>379</v>
      </c>
      <c r="AE44">
        <v>87</v>
      </c>
      <c r="AF44">
        <v>142</v>
      </c>
      <c r="AG44">
        <v>303</v>
      </c>
      <c r="AH44">
        <v>212</v>
      </c>
      <c r="AI44">
        <v>123</v>
      </c>
      <c r="AJ44">
        <v>559</v>
      </c>
      <c r="AK44">
        <v>212</v>
      </c>
      <c r="AL44">
        <v>158</v>
      </c>
      <c r="AM44">
        <v>286</v>
      </c>
      <c r="AN44">
        <v>61</v>
      </c>
      <c r="AO44">
        <v>35</v>
      </c>
      <c r="AP44">
        <v>106</v>
      </c>
      <c r="AQ44">
        <v>356</v>
      </c>
      <c r="AR44">
        <v>199</v>
      </c>
      <c r="AS44">
        <v>485</v>
      </c>
      <c r="AT44">
        <v>131</v>
      </c>
      <c r="AU44">
        <v>22</v>
      </c>
      <c r="AV44">
        <v>322</v>
      </c>
      <c r="AW44">
        <v>266</v>
      </c>
      <c r="AX44">
        <v>377</v>
      </c>
      <c r="AY44">
        <v>340</v>
      </c>
      <c r="AZ44">
        <v>136</v>
      </c>
      <c r="BA44">
        <v>42</v>
      </c>
      <c r="BB44">
        <v>190</v>
      </c>
      <c r="BC44">
        <v>230</v>
      </c>
      <c r="BD44">
        <v>226</v>
      </c>
      <c r="BE44">
        <v>172</v>
      </c>
    </row>
    <row r="45" spans="1:57" x14ac:dyDescent="0.25">
      <c r="A45" s="8"/>
      <c r="B45" s="8">
        <f t="shared" si="12"/>
        <v>791</v>
      </c>
      <c r="E45" s="2" t="s">
        <v>59</v>
      </c>
      <c r="F45">
        <v>216</v>
      </c>
      <c r="G45">
        <v>338</v>
      </c>
      <c r="H45">
        <v>117</v>
      </c>
      <c r="I45">
        <v>120</v>
      </c>
      <c r="J45">
        <v>410</v>
      </c>
      <c r="K45">
        <v>343</v>
      </c>
      <c r="L45">
        <v>38</v>
      </c>
      <c r="M45">
        <v>332</v>
      </c>
      <c r="N45">
        <v>626</v>
      </c>
      <c r="O45">
        <v>259</v>
      </c>
      <c r="P45">
        <v>165</v>
      </c>
      <c r="Q45">
        <v>473</v>
      </c>
      <c r="R45">
        <v>254</v>
      </c>
      <c r="S45">
        <v>64</v>
      </c>
      <c r="T45">
        <v>273</v>
      </c>
      <c r="U45">
        <v>335</v>
      </c>
      <c r="V45">
        <v>183</v>
      </c>
      <c r="W45">
        <v>381</v>
      </c>
      <c r="X45">
        <v>518</v>
      </c>
      <c r="Y45">
        <v>334</v>
      </c>
      <c r="Z45">
        <v>100</v>
      </c>
      <c r="AA45">
        <v>265</v>
      </c>
      <c r="AB45">
        <v>51</v>
      </c>
      <c r="AC45">
        <v>340</v>
      </c>
      <c r="AD45">
        <v>346</v>
      </c>
      <c r="AE45">
        <v>105</v>
      </c>
      <c r="AF45">
        <v>186</v>
      </c>
      <c r="AG45">
        <v>308</v>
      </c>
      <c r="AH45">
        <v>194</v>
      </c>
      <c r="AI45">
        <v>68</v>
      </c>
      <c r="AJ45">
        <v>608</v>
      </c>
      <c r="AK45">
        <v>134</v>
      </c>
      <c r="AL45">
        <v>65</v>
      </c>
      <c r="AM45">
        <v>244</v>
      </c>
      <c r="AN45">
        <v>35</v>
      </c>
      <c r="AO45">
        <v>76</v>
      </c>
      <c r="AP45">
        <v>149</v>
      </c>
      <c r="AQ45">
        <v>254</v>
      </c>
      <c r="AR45">
        <v>152</v>
      </c>
      <c r="AS45">
        <v>422</v>
      </c>
      <c r="AT45">
        <v>124</v>
      </c>
      <c r="AU45">
        <v>38</v>
      </c>
      <c r="AV45">
        <v>352</v>
      </c>
      <c r="AW45">
        <v>224</v>
      </c>
      <c r="AX45">
        <v>333</v>
      </c>
      <c r="AY45">
        <v>275</v>
      </c>
      <c r="AZ45">
        <v>105</v>
      </c>
      <c r="BA45">
        <v>77</v>
      </c>
      <c r="BB45">
        <v>204</v>
      </c>
      <c r="BC45">
        <v>210</v>
      </c>
      <c r="BD45">
        <v>208</v>
      </c>
      <c r="BE45">
        <v>169</v>
      </c>
    </row>
    <row r="46" spans="1:57" x14ac:dyDescent="0.25">
      <c r="A46" s="8"/>
      <c r="B46" s="8">
        <f t="shared" si="12"/>
        <v>226</v>
      </c>
      <c r="D46" s="2" t="s">
        <v>55</v>
      </c>
      <c r="E46" s="2" t="s">
        <v>56</v>
      </c>
      <c r="F46">
        <v>47</v>
      </c>
      <c r="G46">
        <v>115</v>
      </c>
      <c r="H46">
        <v>47</v>
      </c>
      <c r="I46">
        <v>17</v>
      </c>
      <c r="J46">
        <v>100</v>
      </c>
      <c r="K46">
        <v>105</v>
      </c>
      <c r="L46">
        <v>21</v>
      </c>
      <c r="M46">
        <v>103</v>
      </c>
      <c r="N46">
        <v>159</v>
      </c>
      <c r="O46">
        <v>72</v>
      </c>
      <c r="P46">
        <v>45</v>
      </c>
      <c r="Q46">
        <v>125</v>
      </c>
      <c r="R46">
        <v>84</v>
      </c>
      <c r="S46">
        <v>17</v>
      </c>
      <c r="T46">
        <v>87</v>
      </c>
      <c r="U46">
        <v>96</v>
      </c>
      <c r="V46">
        <v>43</v>
      </c>
      <c r="W46">
        <v>100</v>
      </c>
      <c r="X46">
        <v>146</v>
      </c>
      <c r="Y46">
        <v>101</v>
      </c>
      <c r="Z46">
        <v>31</v>
      </c>
      <c r="AA46">
        <v>56</v>
      </c>
      <c r="AB46">
        <v>5</v>
      </c>
      <c r="AC46">
        <v>91</v>
      </c>
      <c r="AD46">
        <v>94</v>
      </c>
      <c r="AE46">
        <v>40</v>
      </c>
      <c r="AF46">
        <v>57</v>
      </c>
      <c r="AG46">
        <v>86</v>
      </c>
      <c r="AH46">
        <v>55</v>
      </c>
      <c r="AI46">
        <v>21</v>
      </c>
      <c r="AJ46">
        <v>166</v>
      </c>
      <c r="AK46">
        <v>47</v>
      </c>
      <c r="AL46">
        <v>31</v>
      </c>
      <c r="AM46">
        <v>71</v>
      </c>
      <c r="AN46">
        <v>7</v>
      </c>
      <c r="AO46">
        <v>13</v>
      </c>
      <c r="AP46">
        <v>50</v>
      </c>
      <c r="AQ46">
        <v>76</v>
      </c>
      <c r="AR46">
        <v>64</v>
      </c>
      <c r="AS46">
        <v>107</v>
      </c>
      <c r="AT46">
        <v>31</v>
      </c>
      <c r="AU46">
        <v>2</v>
      </c>
      <c r="AV46">
        <v>82</v>
      </c>
      <c r="AW46">
        <v>82</v>
      </c>
      <c r="AX46">
        <v>99</v>
      </c>
      <c r="AY46">
        <v>72</v>
      </c>
      <c r="AZ46">
        <v>30</v>
      </c>
      <c r="BA46">
        <v>6</v>
      </c>
      <c r="BB46">
        <v>66</v>
      </c>
      <c r="BC46">
        <v>75</v>
      </c>
      <c r="BD46">
        <v>64</v>
      </c>
      <c r="BE46">
        <v>21</v>
      </c>
    </row>
    <row r="47" spans="1:57" x14ac:dyDescent="0.25">
      <c r="A47" s="8"/>
      <c r="B47" s="8">
        <f t="shared" si="12"/>
        <v>605</v>
      </c>
      <c r="E47" s="2" t="s">
        <v>57</v>
      </c>
      <c r="F47">
        <v>129</v>
      </c>
      <c r="G47">
        <v>316</v>
      </c>
      <c r="H47">
        <v>105</v>
      </c>
      <c r="I47">
        <v>55</v>
      </c>
      <c r="J47">
        <v>291</v>
      </c>
      <c r="K47">
        <v>280</v>
      </c>
      <c r="L47">
        <v>34</v>
      </c>
      <c r="M47">
        <v>239</v>
      </c>
      <c r="N47">
        <v>464</v>
      </c>
      <c r="O47">
        <v>229</v>
      </c>
      <c r="P47">
        <v>140</v>
      </c>
      <c r="Q47">
        <v>319</v>
      </c>
      <c r="R47">
        <v>238</v>
      </c>
      <c r="S47">
        <v>48</v>
      </c>
      <c r="T47">
        <v>163</v>
      </c>
      <c r="U47">
        <v>283</v>
      </c>
      <c r="V47">
        <v>159</v>
      </c>
      <c r="W47">
        <v>246</v>
      </c>
      <c r="X47">
        <v>368</v>
      </c>
      <c r="Y47">
        <v>296</v>
      </c>
      <c r="Z47">
        <v>107</v>
      </c>
      <c r="AA47">
        <v>157</v>
      </c>
      <c r="AB47">
        <v>16</v>
      </c>
      <c r="AC47">
        <v>203</v>
      </c>
      <c r="AD47">
        <v>348</v>
      </c>
      <c r="AE47">
        <v>54</v>
      </c>
      <c r="AF47">
        <v>94</v>
      </c>
      <c r="AG47">
        <v>230</v>
      </c>
      <c r="AH47">
        <v>204</v>
      </c>
      <c r="AI47">
        <v>57</v>
      </c>
      <c r="AJ47">
        <v>365</v>
      </c>
      <c r="AK47">
        <v>194</v>
      </c>
      <c r="AL47">
        <v>115</v>
      </c>
      <c r="AM47">
        <v>174</v>
      </c>
      <c r="AN47">
        <v>29</v>
      </c>
      <c r="AO47">
        <v>23</v>
      </c>
      <c r="AP47">
        <v>71</v>
      </c>
      <c r="AQ47">
        <v>295</v>
      </c>
      <c r="AR47">
        <v>159</v>
      </c>
      <c r="AS47">
        <v>296</v>
      </c>
      <c r="AT47">
        <v>84</v>
      </c>
      <c r="AU47">
        <v>11</v>
      </c>
      <c r="AV47">
        <v>222</v>
      </c>
      <c r="AW47">
        <v>221</v>
      </c>
      <c r="AX47">
        <v>273</v>
      </c>
      <c r="AY47">
        <v>235</v>
      </c>
      <c r="AZ47">
        <v>84</v>
      </c>
      <c r="BA47">
        <v>21</v>
      </c>
      <c r="BB47">
        <v>145</v>
      </c>
      <c r="BC47">
        <v>213</v>
      </c>
      <c r="BD47">
        <v>175</v>
      </c>
      <c r="BE47">
        <v>72</v>
      </c>
    </row>
    <row r="48" spans="1:57" x14ac:dyDescent="0.25">
      <c r="A48" s="8"/>
      <c r="B48" s="8">
        <f t="shared" si="12"/>
        <v>585</v>
      </c>
      <c r="E48" s="2" t="s">
        <v>58</v>
      </c>
      <c r="F48">
        <v>121</v>
      </c>
      <c r="G48">
        <v>284</v>
      </c>
      <c r="H48">
        <v>115</v>
      </c>
      <c r="I48">
        <v>65</v>
      </c>
      <c r="J48">
        <v>245</v>
      </c>
      <c r="K48">
        <v>299</v>
      </c>
      <c r="L48">
        <v>41</v>
      </c>
      <c r="M48">
        <v>251</v>
      </c>
      <c r="N48">
        <v>431</v>
      </c>
      <c r="O48">
        <v>245</v>
      </c>
      <c r="P48">
        <v>126</v>
      </c>
      <c r="Q48">
        <v>332</v>
      </c>
      <c r="R48">
        <v>201</v>
      </c>
      <c r="S48">
        <v>52</v>
      </c>
      <c r="T48">
        <v>175</v>
      </c>
      <c r="U48">
        <v>274</v>
      </c>
      <c r="V48">
        <v>136</v>
      </c>
      <c r="W48">
        <v>246</v>
      </c>
      <c r="X48">
        <v>359</v>
      </c>
      <c r="Y48">
        <v>265</v>
      </c>
      <c r="Z48">
        <v>88</v>
      </c>
      <c r="AA48">
        <v>170</v>
      </c>
      <c r="AB48">
        <v>22</v>
      </c>
      <c r="AC48">
        <v>228</v>
      </c>
      <c r="AD48">
        <v>303</v>
      </c>
      <c r="AE48">
        <v>54</v>
      </c>
      <c r="AF48">
        <v>104</v>
      </c>
      <c r="AG48">
        <v>245</v>
      </c>
      <c r="AH48">
        <v>155</v>
      </c>
      <c r="AI48">
        <v>57</v>
      </c>
      <c r="AJ48">
        <v>388</v>
      </c>
      <c r="AK48">
        <v>135</v>
      </c>
      <c r="AL48">
        <v>99</v>
      </c>
      <c r="AM48">
        <v>184</v>
      </c>
      <c r="AN48">
        <v>41</v>
      </c>
      <c r="AO48">
        <v>42</v>
      </c>
      <c r="AP48">
        <v>66</v>
      </c>
      <c r="AQ48">
        <v>246</v>
      </c>
      <c r="AR48">
        <v>144</v>
      </c>
      <c r="AS48">
        <v>307</v>
      </c>
      <c r="AT48">
        <v>83</v>
      </c>
      <c r="AU48">
        <v>16</v>
      </c>
      <c r="AV48">
        <v>208</v>
      </c>
      <c r="AW48">
        <v>181</v>
      </c>
      <c r="AX48">
        <v>257</v>
      </c>
      <c r="AY48">
        <v>195</v>
      </c>
      <c r="AZ48">
        <v>90</v>
      </c>
      <c r="BA48">
        <v>45</v>
      </c>
      <c r="BB48">
        <v>145</v>
      </c>
      <c r="BC48">
        <v>182</v>
      </c>
      <c r="BD48">
        <v>182</v>
      </c>
      <c r="BE48">
        <v>76</v>
      </c>
    </row>
    <row r="49" spans="1:57" x14ac:dyDescent="0.25">
      <c r="A49" s="8"/>
      <c r="B49" s="8">
        <f>SUM(F49:I49)</f>
        <v>863</v>
      </c>
      <c r="E49" s="2" t="s">
        <v>59</v>
      </c>
      <c r="F49">
        <v>156</v>
      </c>
      <c r="G49">
        <v>398</v>
      </c>
      <c r="H49">
        <v>140</v>
      </c>
      <c r="I49">
        <v>169</v>
      </c>
      <c r="J49">
        <v>414</v>
      </c>
      <c r="K49">
        <v>401</v>
      </c>
      <c r="L49">
        <v>48</v>
      </c>
      <c r="M49">
        <v>391</v>
      </c>
      <c r="N49">
        <v>705</v>
      </c>
      <c r="O49">
        <v>319</v>
      </c>
      <c r="P49">
        <v>197</v>
      </c>
      <c r="Q49">
        <v>500</v>
      </c>
      <c r="R49">
        <v>289</v>
      </c>
      <c r="S49">
        <v>74</v>
      </c>
      <c r="T49">
        <v>295</v>
      </c>
      <c r="U49">
        <v>349</v>
      </c>
      <c r="V49">
        <v>219</v>
      </c>
      <c r="W49">
        <v>408</v>
      </c>
      <c r="X49">
        <v>601</v>
      </c>
      <c r="Y49">
        <v>368</v>
      </c>
      <c r="Z49">
        <v>101</v>
      </c>
      <c r="AA49">
        <v>286</v>
      </c>
      <c r="AB49">
        <v>60</v>
      </c>
      <c r="AC49">
        <v>328</v>
      </c>
      <c r="AD49">
        <v>422</v>
      </c>
      <c r="AE49">
        <v>113</v>
      </c>
      <c r="AF49">
        <v>230</v>
      </c>
      <c r="AG49">
        <v>340</v>
      </c>
      <c r="AH49">
        <v>199</v>
      </c>
      <c r="AI49">
        <v>64</v>
      </c>
      <c r="AJ49">
        <v>645</v>
      </c>
      <c r="AK49">
        <v>156</v>
      </c>
      <c r="AL49">
        <v>67</v>
      </c>
      <c r="AM49">
        <v>245</v>
      </c>
      <c r="AN49">
        <v>36</v>
      </c>
      <c r="AO49">
        <v>93</v>
      </c>
      <c r="AP49">
        <v>145</v>
      </c>
      <c r="AQ49">
        <v>287</v>
      </c>
      <c r="AR49">
        <v>176</v>
      </c>
      <c r="AS49">
        <v>468</v>
      </c>
      <c r="AT49">
        <v>119</v>
      </c>
      <c r="AU49">
        <v>51</v>
      </c>
      <c r="AV49">
        <v>345</v>
      </c>
      <c r="AW49">
        <v>238</v>
      </c>
      <c r="AX49">
        <v>371</v>
      </c>
      <c r="AY49">
        <v>295</v>
      </c>
      <c r="AZ49">
        <v>114</v>
      </c>
      <c r="BA49">
        <v>114</v>
      </c>
      <c r="BB49">
        <v>254</v>
      </c>
      <c r="BC49">
        <v>253</v>
      </c>
      <c r="BD49">
        <v>205</v>
      </c>
      <c r="BE49">
        <v>151</v>
      </c>
    </row>
    <row r="50" spans="1:57" s="4" customFormat="1" x14ac:dyDescent="0.25">
      <c r="A50"/>
      <c r="B50"/>
      <c r="C50"/>
      <c r="D50" s="2" t="s">
        <v>54</v>
      </c>
      <c r="E50" s="2" t="s">
        <v>56</v>
      </c>
      <c r="F50" s="4">
        <f>F42/$B42</f>
        <v>0.34657836644591611</v>
      </c>
      <c r="G50" s="4">
        <f t="shared" ref="G50:BE55" si="13">G42/$B42</f>
        <v>0.35540838852097129</v>
      </c>
      <c r="H50" s="4">
        <f t="shared" si="13"/>
        <v>0.20309050772626933</v>
      </c>
      <c r="I50" s="4">
        <f t="shared" si="13"/>
        <v>9.4922737306843266E-2</v>
      </c>
      <c r="J50" s="4">
        <f t="shared" si="13"/>
        <v>0.5011037527593819</v>
      </c>
      <c r="K50" s="4">
        <f t="shared" si="13"/>
        <v>0.4370860927152318</v>
      </c>
      <c r="L50" s="4">
        <f t="shared" si="13"/>
        <v>6.1810154525386317E-2</v>
      </c>
      <c r="M50" s="4">
        <f t="shared" si="13"/>
        <v>0.45033112582781459</v>
      </c>
      <c r="N50" s="4">
        <f t="shared" si="13"/>
        <v>0.57174392935982343</v>
      </c>
      <c r="O50" s="4">
        <f t="shared" si="13"/>
        <v>0.32229580573951433</v>
      </c>
      <c r="P50" s="4">
        <f t="shared" si="13"/>
        <v>0.16997792494481237</v>
      </c>
      <c r="Q50" s="4">
        <f t="shared" si="13"/>
        <v>0.56732891832229582</v>
      </c>
      <c r="R50" s="4">
        <f t="shared" si="13"/>
        <v>0.31346578366445915</v>
      </c>
      <c r="S50" s="4">
        <f t="shared" si="13"/>
        <v>0.11920529801324503</v>
      </c>
      <c r="T50" s="4">
        <f t="shared" si="13"/>
        <v>0.40176600441501104</v>
      </c>
      <c r="U50" s="4">
        <f t="shared" si="13"/>
        <v>0.42384105960264901</v>
      </c>
      <c r="V50" s="4">
        <f t="shared" si="13"/>
        <v>0.17439293598233996</v>
      </c>
      <c r="W50" s="4">
        <f t="shared" si="13"/>
        <v>0.45695364238410596</v>
      </c>
      <c r="X50" s="4">
        <f t="shared" si="13"/>
        <v>0.54746136865342165</v>
      </c>
      <c r="Y50" s="4">
        <f t="shared" si="13"/>
        <v>0.46136865342163358</v>
      </c>
      <c r="Z50" s="4">
        <f t="shared" si="13"/>
        <v>0.13245033112582782</v>
      </c>
      <c r="AA50" s="4">
        <f t="shared" si="13"/>
        <v>0.19426048565121412</v>
      </c>
      <c r="AB50" s="4">
        <f t="shared" si="13"/>
        <v>4.6357615894039736E-2</v>
      </c>
      <c r="AC50" s="4">
        <f t="shared" si="13"/>
        <v>0.43929359823399561</v>
      </c>
      <c r="AD50" s="4">
        <f t="shared" si="13"/>
        <v>0.44150110375275936</v>
      </c>
      <c r="AE50" s="4">
        <f t="shared" si="13"/>
        <v>0.11920529801324503</v>
      </c>
      <c r="AF50" s="4">
        <f t="shared" si="13"/>
        <v>0.26269315673289184</v>
      </c>
      <c r="AG50" s="4">
        <f t="shared" si="13"/>
        <v>0.4083885209713024</v>
      </c>
      <c r="AH50" s="4">
        <f t="shared" si="13"/>
        <v>0.20088300220750552</v>
      </c>
      <c r="AI50" s="4">
        <f t="shared" si="13"/>
        <v>9.0507726269315678E-2</v>
      </c>
      <c r="AJ50" s="4">
        <f t="shared" si="13"/>
        <v>0.63134657836644592</v>
      </c>
      <c r="AK50" s="4">
        <f t="shared" si="13"/>
        <v>0.20309050772626933</v>
      </c>
      <c r="AL50" s="4">
        <f t="shared" si="13"/>
        <v>0.20088300220750552</v>
      </c>
      <c r="AM50" s="4">
        <f t="shared" si="13"/>
        <v>0.19205298013245034</v>
      </c>
      <c r="AN50" s="4">
        <f t="shared" si="13"/>
        <v>7.7262693156732898E-2</v>
      </c>
      <c r="AO50" s="4">
        <f t="shared" si="13"/>
        <v>4.6357615894039736E-2</v>
      </c>
      <c r="AP50" s="4">
        <f t="shared" si="13"/>
        <v>0.22075055187637968</v>
      </c>
      <c r="AQ50" s="4">
        <f t="shared" si="13"/>
        <v>0.32450331125827814</v>
      </c>
      <c r="AR50" s="4">
        <f t="shared" si="13"/>
        <v>0.2251655629139073</v>
      </c>
      <c r="AS50" s="4">
        <f t="shared" si="13"/>
        <v>0.41501103752759383</v>
      </c>
      <c r="AT50" s="4">
        <f t="shared" si="13"/>
        <v>0.12141280353200883</v>
      </c>
      <c r="AU50" s="4">
        <f t="shared" si="13"/>
        <v>5.0772626931567331E-2</v>
      </c>
      <c r="AV50" s="4">
        <f t="shared" si="13"/>
        <v>0.39293598233995586</v>
      </c>
      <c r="AW50" s="4">
        <f t="shared" si="13"/>
        <v>0.32008830022075058</v>
      </c>
      <c r="AX50" s="4">
        <f t="shared" si="13"/>
        <v>0.33112582781456956</v>
      </c>
      <c r="AY50" s="4">
        <f t="shared" si="13"/>
        <v>0.27152317880794702</v>
      </c>
      <c r="AZ50" s="4">
        <f t="shared" si="13"/>
        <v>0.13024282560706402</v>
      </c>
      <c r="BA50" s="4">
        <f t="shared" si="13"/>
        <v>6.1810154525386317E-2</v>
      </c>
      <c r="BB50" s="4">
        <f t="shared" si="13"/>
        <v>0.3443708609271523</v>
      </c>
      <c r="BC50" s="4">
        <f t="shared" si="13"/>
        <v>0.3443708609271523</v>
      </c>
      <c r="BD50" s="4">
        <f t="shared" si="13"/>
        <v>0.19205298013245034</v>
      </c>
      <c r="BE50" s="4">
        <f t="shared" si="13"/>
        <v>0.11920529801324503</v>
      </c>
    </row>
    <row r="51" spans="1:57" s="4" customFormat="1" x14ac:dyDescent="0.25">
      <c r="A51"/>
      <c r="B51"/>
      <c r="C51"/>
      <c r="D51"/>
      <c r="E51" s="2" t="s">
        <v>57</v>
      </c>
      <c r="F51" s="4">
        <f t="shared" ref="F51:U57" si="14">F43/$B43</f>
        <v>0.3574074074074074</v>
      </c>
      <c r="G51" s="4">
        <f t="shared" si="14"/>
        <v>0.45185185185185184</v>
      </c>
      <c r="H51" s="4">
        <f t="shared" si="14"/>
        <v>0.12407407407407407</v>
      </c>
      <c r="I51" s="4">
        <f t="shared" si="14"/>
        <v>6.6666666666666666E-2</v>
      </c>
      <c r="J51" s="4">
        <f t="shared" si="14"/>
        <v>0.47037037037037038</v>
      </c>
      <c r="K51" s="4">
        <f t="shared" si="14"/>
        <v>0.47499999999999998</v>
      </c>
      <c r="L51" s="4">
        <f t="shared" si="14"/>
        <v>5.4629629629629632E-2</v>
      </c>
      <c r="M51" s="4">
        <f t="shared" si="14"/>
        <v>0.42499999999999999</v>
      </c>
      <c r="N51" s="4">
        <f t="shared" si="14"/>
        <v>0.69537037037037042</v>
      </c>
      <c r="O51" s="4">
        <f t="shared" si="14"/>
        <v>0.35462962962962963</v>
      </c>
      <c r="P51" s="4">
        <f t="shared" si="14"/>
        <v>0.20370370370370369</v>
      </c>
      <c r="Q51" s="4">
        <f t="shared" si="14"/>
        <v>0.54722222222222228</v>
      </c>
      <c r="R51" s="4">
        <f t="shared" si="14"/>
        <v>0.37037037037037035</v>
      </c>
      <c r="S51" s="4">
        <f t="shared" si="14"/>
        <v>8.2407407407407401E-2</v>
      </c>
      <c r="T51" s="4">
        <f t="shared" si="14"/>
        <v>0.37037037037037035</v>
      </c>
      <c r="U51" s="4">
        <f t="shared" si="14"/>
        <v>0.44351851851851853</v>
      </c>
      <c r="V51" s="4">
        <f t="shared" si="13"/>
        <v>0.18611111111111112</v>
      </c>
      <c r="W51" s="4">
        <f t="shared" si="13"/>
        <v>0.46388888888888891</v>
      </c>
      <c r="X51" s="4">
        <f t="shared" si="13"/>
        <v>0.5712962962962963</v>
      </c>
      <c r="Y51" s="4">
        <f t="shared" si="13"/>
        <v>0.44907407407407407</v>
      </c>
      <c r="Z51" s="4">
        <f t="shared" si="13"/>
        <v>0.17037037037037037</v>
      </c>
      <c r="AA51" s="4">
        <f t="shared" si="13"/>
        <v>0.20925925925925926</v>
      </c>
      <c r="AB51" s="4">
        <f t="shared" si="13"/>
        <v>2.9629629629629631E-2</v>
      </c>
      <c r="AC51" s="4">
        <f t="shared" si="13"/>
        <v>0.52037037037037037</v>
      </c>
      <c r="AD51" s="4">
        <f t="shared" si="13"/>
        <v>0.40277777777777779</v>
      </c>
      <c r="AE51" s="4">
        <f t="shared" si="13"/>
        <v>7.6851851851851852E-2</v>
      </c>
      <c r="AF51" s="4">
        <f t="shared" si="13"/>
        <v>0.1537037037037037</v>
      </c>
      <c r="AG51" s="4">
        <f t="shared" si="13"/>
        <v>0.38055555555555554</v>
      </c>
      <c r="AH51" s="4">
        <f t="shared" si="13"/>
        <v>0.28888888888888886</v>
      </c>
      <c r="AI51" s="4">
        <f t="shared" si="13"/>
        <v>0.12685185185185185</v>
      </c>
      <c r="AJ51" s="4">
        <f t="shared" si="13"/>
        <v>0.56574074074074077</v>
      </c>
      <c r="AK51" s="4">
        <f t="shared" si="13"/>
        <v>0.25462962962962965</v>
      </c>
      <c r="AL51" s="4">
        <f t="shared" si="13"/>
        <v>0.19907407407407407</v>
      </c>
      <c r="AM51" s="4">
        <f t="shared" si="13"/>
        <v>0.28796296296296298</v>
      </c>
      <c r="AN51" s="4">
        <f t="shared" si="13"/>
        <v>0.10092592592592593</v>
      </c>
      <c r="AO51" s="4">
        <f t="shared" si="13"/>
        <v>5.185185185185185E-2</v>
      </c>
      <c r="AP51" s="4">
        <f t="shared" si="13"/>
        <v>0.11851851851851852</v>
      </c>
      <c r="AQ51" s="4">
        <f t="shared" si="13"/>
        <v>0.46574074074074073</v>
      </c>
      <c r="AR51" s="4">
        <f t="shared" si="13"/>
        <v>0.2388888888888889</v>
      </c>
      <c r="AS51" s="4">
        <f t="shared" si="13"/>
        <v>0.47962962962962963</v>
      </c>
      <c r="AT51" s="4">
        <f t="shared" si="13"/>
        <v>0.12222222222222222</v>
      </c>
      <c r="AU51" s="4">
        <f t="shared" si="13"/>
        <v>2.1296296296296296E-2</v>
      </c>
      <c r="AV51" s="4">
        <f t="shared" si="13"/>
        <v>0.37685185185185183</v>
      </c>
      <c r="AW51" s="4">
        <f t="shared" si="13"/>
        <v>0.34722222222222221</v>
      </c>
      <c r="AX51" s="4">
        <f t="shared" si="13"/>
        <v>0.37314814814814817</v>
      </c>
      <c r="AY51" s="4">
        <f t="shared" si="13"/>
        <v>0.31203703703703706</v>
      </c>
      <c r="AZ51" s="4">
        <f t="shared" si="13"/>
        <v>0.1425925925925926</v>
      </c>
      <c r="BA51" s="4">
        <f t="shared" si="13"/>
        <v>4.4444444444444446E-2</v>
      </c>
      <c r="BB51" s="4">
        <f t="shared" si="13"/>
        <v>0.25740740740740742</v>
      </c>
      <c r="BC51" s="4">
        <f t="shared" si="13"/>
        <v>0.35462962962962963</v>
      </c>
      <c r="BD51" s="4">
        <f t="shared" si="13"/>
        <v>0.24444444444444444</v>
      </c>
      <c r="BE51" s="4">
        <f t="shared" si="13"/>
        <v>0.14351851851851852</v>
      </c>
    </row>
    <row r="52" spans="1:57" s="4" customFormat="1" x14ac:dyDescent="0.25">
      <c r="A52"/>
      <c r="B52"/>
      <c r="C52"/>
      <c r="D52"/>
      <c r="E52" s="2" t="s">
        <v>58</v>
      </c>
      <c r="F52" s="4">
        <f t="shared" si="14"/>
        <v>0.29339853300733498</v>
      </c>
      <c r="G52" s="4">
        <f t="shared" si="13"/>
        <v>0.45476772616136918</v>
      </c>
      <c r="H52" s="4">
        <f t="shared" si="13"/>
        <v>0.15036674816625917</v>
      </c>
      <c r="I52" s="4">
        <f t="shared" si="13"/>
        <v>0.10146699266503667</v>
      </c>
      <c r="J52" s="4">
        <f t="shared" si="13"/>
        <v>0.52200488997555017</v>
      </c>
      <c r="K52" s="4">
        <f t="shared" si="13"/>
        <v>0.42420537897310512</v>
      </c>
      <c r="L52" s="4">
        <f t="shared" si="13"/>
        <v>5.3789731051344741E-2</v>
      </c>
      <c r="M52" s="4">
        <f t="shared" si="13"/>
        <v>0.42298288508557458</v>
      </c>
      <c r="N52" s="4">
        <f t="shared" si="13"/>
        <v>0.75183374083129584</v>
      </c>
      <c r="O52" s="4">
        <f t="shared" si="13"/>
        <v>0.41198044009779949</v>
      </c>
      <c r="P52" s="4">
        <f t="shared" si="13"/>
        <v>0.20048899755501223</v>
      </c>
      <c r="Q52" s="4">
        <f t="shared" si="13"/>
        <v>0.5794621026894865</v>
      </c>
      <c r="R52" s="4">
        <f t="shared" si="13"/>
        <v>0.34107579462102688</v>
      </c>
      <c r="S52" s="4">
        <f t="shared" si="13"/>
        <v>7.9462102689486558E-2</v>
      </c>
      <c r="T52" s="4">
        <f t="shared" si="13"/>
        <v>0.30929095354523228</v>
      </c>
      <c r="U52" s="4">
        <f t="shared" si="13"/>
        <v>0.43276283618581907</v>
      </c>
      <c r="V52" s="4">
        <f t="shared" si="13"/>
        <v>0.25794621026894865</v>
      </c>
      <c r="W52" s="4">
        <f t="shared" si="13"/>
        <v>0.5317848410757946</v>
      </c>
      <c r="X52" s="4">
        <f t="shared" si="13"/>
        <v>0.61124694376528121</v>
      </c>
      <c r="Y52" s="4">
        <f t="shared" si="13"/>
        <v>0.4841075794621027</v>
      </c>
      <c r="Z52" s="4">
        <f t="shared" si="13"/>
        <v>0.19682151589242053</v>
      </c>
      <c r="AA52" s="4">
        <f t="shared" si="13"/>
        <v>0.32151589242053791</v>
      </c>
      <c r="AB52" s="4">
        <f t="shared" si="13"/>
        <v>4.5232273838630807E-2</v>
      </c>
      <c r="AC52" s="4">
        <f t="shared" si="13"/>
        <v>0.42909535452322739</v>
      </c>
      <c r="AD52" s="4">
        <f t="shared" si="13"/>
        <v>0.46332518337408313</v>
      </c>
      <c r="AE52" s="4">
        <f t="shared" si="13"/>
        <v>0.10635696821515893</v>
      </c>
      <c r="AF52" s="4">
        <f t="shared" si="13"/>
        <v>0.17359413202933985</v>
      </c>
      <c r="AG52" s="4">
        <f t="shared" si="13"/>
        <v>0.3704156479217604</v>
      </c>
      <c r="AH52" s="4">
        <f t="shared" si="13"/>
        <v>0.25916870415647919</v>
      </c>
      <c r="AI52" s="4">
        <f t="shared" si="13"/>
        <v>0.15036674816625917</v>
      </c>
      <c r="AJ52" s="4">
        <f t="shared" si="13"/>
        <v>0.68337408312958436</v>
      </c>
      <c r="AK52" s="4">
        <f t="shared" si="13"/>
        <v>0.25916870415647919</v>
      </c>
      <c r="AL52" s="4">
        <f t="shared" si="13"/>
        <v>0.19315403422982885</v>
      </c>
      <c r="AM52" s="4">
        <f t="shared" si="13"/>
        <v>0.34963325183374083</v>
      </c>
      <c r="AN52" s="4">
        <f t="shared" si="13"/>
        <v>7.45721271393643E-2</v>
      </c>
      <c r="AO52" s="4">
        <f t="shared" si="13"/>
        <v>4.2787286063569685E-2</v>
      </c>
      <c r="AP52" s="4">
        <f t="shared" si="13"/>
        <v>0.1295843520782396</v>
      </c>
      <c r="AQ52" s="4">
        <f t="shared" si="13"/>
        <v>0.4352078239608802</v>
      </c>
      <c r="AR52" s="4">
        <f t="shared" si="13"/>
        <v>0.24327628361858192</v>
      </c>
      <c r="AS52" s="4">
        <f t="shared" si="13"/>
        <v>0.59290953545232272</v>
      </c>
      <c r="AT52" s="4">
        <f t="shared" si="13"/>
        <v>0.16014669926650366</v>
      </c>
      <c r="AU52" s="4">
        <f t="shared" si="13"/>
        <v>2.6894865525672371E-2</v>
      </c>
      <c r="AV52" s="4">
        <f t="shared" si="13"/>
        <v>0.39364303178484106</v>
      </c>
      <c r="AW52" s="4">
        <f t="shared" si="13"/>
        <v>0.32518337408312958</v>
      </c>
      <c r="AX52" s="4">
        <f t="shared" si="13"/>
        <v>0.46088019559902199</v>
      </c>
      <c r="AY52" s="4">
        <f t="shared" si="13"/>
        <v>0.41564792176039123</v>
      </c>
      <c r="AZ52" s="4">
        <f t="shared" si="13"/>
        <v>0.16625916870415647</v>
      </c>
      <c r="BA52" s="4">
        <f t="shared" si="13"/>
        <v>5.1344743276283619E-2</v>
      </c>
      <c r="BB52" s="4">
        <f t="shared" si="13"/>
        <v>0.23227383863080683</v>
      </c>
      <c r="BC52" s="4">
        <f t="shared" si="13"/>
        <v>0.28117359413202936</v>
      </c>
      <c r="BD52" s="4">
        <f t="shared" si="13"/>
        <v>0.27628361858190709</v>
      </c>
      <c r="BE52" s="4">
        <f t="shared" si="13"/>
        <v>0.21026894865525672</v>
      </c>
    </row>
    <row r="53" spans="1:57" s="4" customFormat="1" x14ac:dyDescent="0.25">
      <c r="A53"/>
      <c r="B53"/>
      <c r="C53"/>
      <c r="D53"/>
      <c r="E53" s="2" t="s">
        <v>59</v>
      </c>
      <c r="F53" s="4">
        <f t="shared" si="14"/>
        <v>0.27307206068268014</v>
      </c>
      <c r="G53" s="4">
        <f t="shared" si="13"/>
        <v>0.427307206068268</v>
      </c>
      <c r="H53" s="4">
        <f t="shared" si="13"/>
        <v>0.14791403286978508</v>
      </c>
      <c r="I53" s="4">
        <f t="shared" si="13"/>
        <v>0.15170670037926676</v>
      </c>
      <c r="J53" s="4">
        <f t="shared" si="13"/>
        <v>0.51833122629582806</v>
      </c>
      <c r="K53" s="4">
        <f t="shared" si="13"/>
        <v>0.4336283185840708</v>
      </c>
      <c r="L53" s="4">
        <f t="shared" si="13"/>
        <v>4.804045512010114E-2</v>
      </c>
      <c r="M53" s="4">
        <f t="shared" si="13"/>
        <v>0.4197218710493047</v>
      </c>
      <c r="N53" s="4">
        <f t="shared" si="13"/>
        <v>0.79140328697850826</v>
      </c>
      <c r="O53" s="4">
        <f t="shared" si="13"/>
        <v>0.32743362831858408</v>
      </c>
      <c r="P53" s="4">
        <f t="shared" si="13"/>
        <v>0.20859671302149177</v>
      </c>
      <c r="Q53" s="4">
        <f t="shared" si="13"/>
        <v>0.59797724399494312</v>
      </c>
      <c r="R53" s="4">
        <f t="shared" si="13"/>
        <v>0.32111251580278127</v>
      </c>
      <c r="S53" s="4">
        <f t="shared" si="13"/>
        <v>8.0910240202275607E-2</v>
      </c>
      <c r="T53" s="4">
        <f t="shared" si="13"/>
        <v>0.34513274336283184</v>
      </c>
      <c r="U53" s="4">
        <f t="shared" si="13"/>
        <v>0.42351453855878635</v>
      </c>
      <c r="V53" s="4">
        <f t="shared" si="13"/>
        <v>0.23135271807838179</v>
      </c>
      <c r="W53" s="4">
        <f t="shared" si="13"/>
        <v>0.48166877370417194</v>
      </c>
      <c r="X53" s="4">
        <f t="shared" si="13"/>
        <v>0.65486725663716816</v>
      </c>
      <c r="Y53" s="4">
        <f t="shared" si="13"/>
        <v>0.4222503160556258</v>
      </c>
      <c r="Z53" s="4">
        <f t="shared" si="13"/>
        <v>0.12642225031605561</v>
      </c>
      <c r="AA53" s="4">
        <f t="shared" si="13"/>
        <v>0.33501896333754738</v>
      </c>
      <c r="AB53" s="4">
        <f t="shared" si="13"/>
        <v>6.447534766118837E-2</v>
      </c>
      <c r="AC53" s="4">
        <f t="shared" si="13"/>
        <v>0.42983565107458915</v>
      </c>
      <c r="AD53" s="4">
        <f t="shared" si="13"/>
        <v>0.43742098609355246</v>
      </c>
      <c r="AE53" s="4">
        <f t="shared" si="13"/>
        <v>0.13274336283185842</v>
      </c>
      <c r="AF53" s="4">
        <f t="shared" si="13"/>
        <v>0.23514538558786346</v>
      </c>
      <c r="AG53" s="4">
        <f t="shared" si="13"/>
        <v>0.38938053097345132</v>
      </c>
      <c r="AH53" s="4">
        <f t="shared" si="13"/>
        <v>0.24525916561314792</v>
      </c>
      <c r="AI53" s="4">
        <f t="shared" si="13"/>
        <v>8.5967130214917822E-2</v>
      </c>
      <c r="AJ53" s="4">
        <f t="shared" si="13"/>
        <v>0.76864728192161824</v>
      </c>
      <c r="AK53" s="4">
        <f t="shared" si="13"/>
        <v>0.16940581542351454</v>
      </c>
      <c r="AL53" s="4">
        <f t="shared" si="13"/>
        <v>8.2174462705436158E-2</v>
      </c>
      <c r="AM53" s="4">
        <f t="shared" si="13"/>
        <v>0.30847029077117571</v>
      </c>
      <c r="AN53" s="4">
        <f t="shared" si="13"/>
        <v>4.4247787610619468E-2</v>
      </c>
      <c r="AO53" s="4">
        <f t="shared" si="13"/>
        <v>9.608091024020228E-2</v>
      </c>
      <c r="AP53" s="4">
        <f t="shared" si="13"/>
        <v>0.18836915297092288</v>
      </c>
      <c r="AQ53" s="4">
        <f t="shared" si="13"/>
        <v>0.32111251580278127</v>
      </c>
      <c r="AR53" s="4">
        <f t="shared" si="13"/>
        <v>0.19216182048040456</v>
      </c>
      <c r="AS53" s="4">
        <f t="shared" si="13"/>
        <v>0.53350189633375478</v>
      </c>
      <c r="AT53" s="4">
        <f t="shared" si="13"/>
        <v>0.15676359039190899</v>
      </c>
      <c r="AU53" s="4">
        <f t="shared" si="13"/>
        <v>4.804045512010114E-2</v>
      </c>
      <c r="AV53" s="4">
        <f t="shared" si="13"/>
        <v>0.44500632111251581</v>
      </c>
      <c r="AW53" s="4">
        <f t="shared" si="13"/>
        <v>0.2831858407079646</v>
      </c>
      <c r="AX53" s="4">
        <f t="shared" si="13"/>
        <v>0.42098609355246525</v>
      </c>
      <c r="AY53" s="4">
        <f t="shared" si="13"/>
        <v>0.347661188369153</v>
      </c>
      <c r="AZ53" s="4">
        <f t="shared" si="13"/>
        <v>0.13274336283185842</v>
      </c>
      <c r="BA53" s="4">
        <f t="shared" si="13"/>
        <v>9.7345132743362831E-2</v>
      </c>
      <c r="BB53" s="4">
        <f t="shared" si="13"/>
        <v>0.25790139064475348</v>
      </c>
      <c r="BC53" s="4">
        <f t="shared" si="13"/>
        <v>0.26548672566371684</v>
      </c>
      <c r="BD53" s="4">
        <f t="shared" si="13"/>
        <v>0.26295828065739568</v>
      </c>
      <c r="BE53" s="4">
        <f t="shared" si="13"/>
        <v>0.213653603034134</v>
      </c>
    </row>
    <row r="54" spans="1:57" s="4" customFormat="1" x14ac:dyDescent="0.25">
      <c r="A54"/>
      <c r="B54"/>
      <c r="C54"/>
      <c r="D54" s="2" t="s">
        <v>55</v>
      </c>
      <c r="E54" s="2" t="s">
        <v>56</v>
      </c>
      <c r="F54" s="4">
        <f t="shared" si="14"/>
        <v>0.20796460176991149</v>
      </c>
      <c r="G54" s="4">
        <f t="shared" si="13"/>
        <v>0.50884955752212391</v>
      </c>
      <c r="H54" s="4">
        <f t="shared" si="13"/>
        <v>0.20796460176991149</v>
      </c>
      <c r="I54" s="4">
        <f t="shared" si="13"/>
        <v>7.5221238938053103E-2</v>
      </c>
      <c r="J54" s="4">
        <f t="shared" si="13"/>
        <v>0.44247787610619471</v>
      </c>
      <c r="K54" s="4">
        <f t="shared" si="13"/>
        <v>0.46460176991150443</v>
      </c>
      <c r="L54" s="4">
        <f t="shared" si="13"/>
        <v>9.2920353982300891E-2</v>
      </c>
      <c r="M54" s="4">
        <f t="shared" si="13"/>
        <v>0.45575221238938052</v>
      </c>
      <c r="N54" s="4">
        <f t="shared" si="13"/>
        <v>0.70353982300884954</v>
      </c>
      <c r="O54" s="4">
        <f t="shared" si="13"/>
        <v>0.31858407079646017</v>
      </c>
      <c r="P54" s="4">
        <f t="shared" si="13"/>
        <v>0.19911504424778761</v>
      </c>
      <c r="Q54" s="4">
        <f t="shared" si="13"/>
        <v>0.55309734513274333</v>
      </c>
      <c r="R54" s="4">
        <f t="shared" si="13"/>
        <v>0.37168141592920356</v>
      </c>
      <c r="S54" s="4">
        <f t="shared" si="13"/>
        <v>7.5221238938053103E-2</v>
      </c>
      <c r="T54" s="4">
        <f t="shared" si="13"/>
        <v>0.38495575221238937</v>
      </c>
      <c r="U54" s="4">
        <f t="shared" si="13"/>
        <v>0.4247787610619469</v>
      </c>
      <c r="V54" s="4">
        <f t="shared" si="13"/>
        <v>0.19026548672566371</v>
      </c>
      <c r="W54" s="4">
        <f t="shared" si="13"/>
        <v>0.44247787610619471</v>
      </c>
      <c r="X54" s="4">
        <f t="shared" si="13"/>
        <v>0.64601769911504425</v>
      </c>
      <c r="Y54" s="4">
        <f t="shared" si="13"/>
        <v>0.44690265486725661</v>
      </c>
      <c r="Z54" s="4">
        <f t="shared" si="13"/>
        <v>0.13716814159292035</v>
      </c>
      <c r="AA54" s="4">
        <f t="shared" si="13"/>
        <v>0.24778761061946902</v>
      </c>
      <c r="AB54" s="4">
        <f t="shared" si="13"/>
        <v>2.2123893805309734E-2</v>
      </c>
      <c r="AC54" s="4">
        <f t="shared" si="13"/>
        <v>0.40265486725663718</v>
      </c>
      <c r="AD54" s="4">
        <f t="shared" si="13"/>
        <v>0.41592920353982299</v>
      </c>
      <c r="AE54" s="4">
        <f t="shared" si="13"/>
        <v>0.17699115044247787</v>
      </c>
      <c r="AF54" s="4">
        <f t="shared" si="13"/>
        <v>0.25221238938053098</v>
      </c>
      <c r="AG54" s="4">
        <f t="shared" si="13"/>
        <v>0.38053097345132741</v>
      </c>
      <c r="AH54" s="4">
        <f t="shared" si="13"/>
        <v>0.24336283185840707</v>
      </c>
      <c r="AI54" s="4">
        <f t="shared" si="13"/>
        <v>9.2920353982300891E-2</v>
      </c>
      <c r="AJ54" s="4">
        <f t="shared" si="13"/>
        <v>0.73451327433628322</v>
      </c>
      <c r="AK54" s="4">
        <f t="shared" si="13"/>
        <v>0.20796460176991149</v>
      </c>
      <c r="AL54" s="4">
        <f t="shared" si="13"/>
        <v>0.13716814159292035</v>
      </c>
      <c r="AM54" s="4">
        <f t="shared" si="13"/>
        <v>0.31415929203539822</v>
      </c>
      <c r="AN54" s="4">
        <f t="shared" si="13"/>
        <v>3.0973451327433628E-2</v>
      </c>
      <c r="AO54" s="4">
        <f t="shared" si="13"/>
        <v>5.7522123893805309E-2</v>
      </c>
      <c r="AP54" s="4">
        <f t="shared" si="13"/>
        <v>0.22123893805309736</v>
      </c>
      <c r="AQ54" s="4">
        <f t="shared" si="13"/>
        <v>0.33628318584070799</v>
      </c>
      <c r="AR54" s="4">
        <f t="shared" si="13"/>
        <v>0.2831858407079646</v>
      </c>
      <c r="AS54" s="4">
        <f t="shared" si="13"/>
        <v>0.47345132743362833</v>
      </c>
      <c r="AT54" s="4">
        <f t="shared" si="13"/>
        <v>0.13716814159292035</v>
      </c>
      <c r="AU54" s="4">
        <f t="shared" si="13"/>
        <v>8.8495575221238937E-3</v>
      </c>
      <c r="AV54" s="4">
        <f t="shared" si="13"/>
        <v>0.36283185840707965</v>
      </c>
      <c r="AW54" s="4">
        <f t="shared" si="13"/>
        <v>0.36283185840707965</v>
      </c>
      <c r="AX54" s="4">
        <f t="shared" si="13"/>
        <v>0.43805309734513276</v>
      </c>
      <c r="AY54" s="4">
        <f t="shared" si="13"/>
        <v>0.31858407079646017</v>
      </c>
      <c r="AZ54" s="4">
        <f t="shared" si="13"/>
        <v>0.13274336283185842</v>
      </c>
      <c r="BA54" s="4">
        <f t="shared" si="13"/>
        <v>2.6548672566371681E-2</v>
      </c>
      <c r="BB54" s="4">
        <f t="shared" si="13"/>
        <v>0.29203539823008851</v>
      </c>
      <c r="BC54" s="4">
        <f t="shared" si="13"/>
        <v>0.33185840707964603</v>
      </c>
      <c r="BD54" s="4">
        <f t="shared" si="13"/>
        <v>0.2831858407079646</v>
      </c>
      <c r="BE54" s="4">
        <f t="shared" si="13"/>
        <v>9.2920353982300891E-2</v>
      </c>
    </row>
    <row r="55" spans="1:57" s="4" customFormat="1" x14ac:dyDescent="0.25">
      <c r="A55"/>
      <c r="B55"/>
      <c r="C55"/>
      <c r="D55"/>
      <c r="E55" s="2" t="s">
        <v>57</v>
      </c>
      <c r="F55" s="4">
        <f t="shared" si="14"/>
        <v>0.21322314049586777</v>
      </c>
      <c r="G55" s="4">
        <f t="shared" si="13"/>
        <v>0.52231404958677685</v>
      </c>
      <c r="H55" s="4">
        <f t="shared" si="13"/>
        <v>0.17355371900826447</v>
      </c>
      <c r="I55" s="4">
        <f t="shared" si="13"/>
        <v>9.0909090909090912E-2</v>
      </c>
      <c r="J55" s="4">
        <f t="shared" si="13"/>
        <v>0.4809917355371901</v>
      </c>
      <c r="K55" s="4">
        <f t="shared" si="13"/>
        <v>0.46280991735537191</v>
      </c>
      <c r="L55" s="4">
        <f t="shared" si="13"/>
        <v>5.6198347107438019E-2</v>
      </c>
      <c r="M55" s="4">
        <f t="shared" si="13"/>
        <v>0.39504132231404959</v>
      </c>
      <c r="N55" s="4">
        <f t="shared" si="13"/>
        <v>0.76694214876033062</v>
      </c>
      <c r="O55" s="4">
        <f t="shared" si="13"/>
        <v>0.37851239669421488</v>
      </c>
      <c r="P55" s="4">
        <f t="shared" si="13"/>
        <v>0.23140495867768596</v>
      </c>
      <c r="Q55" s="4">
        <f t="shared" si="13"/>
        <v>0.52727272727272723</v>
      </c>
      <c r="R55" s="4">
        <f t="shared" si="13"/>
        <v>0.39338842975206612</v>
      </c>
      <c r="S55" s="4">
        <f t="shared" si="13"/>
        <v>7.9338842975206617E-2</v>
      </c>
      <c r="T55" s="4">
        <f t="shared" si="13"/>
        <v>0.26942148760330581</v>
      </c>
      <c r="U55" s="4">
        <f t="shared" si="13"/>
        <v>0.46776859504132229</v>
      </c>
      <c r="V55" s="4">
        <f t="shared" ref="G55:BE57" si="15">V47/$B47</f>
        <v>0.2628099173553719</v>
      </c>
      <c r="W55" s="4">
        <f t="shared" si="15"/>
        <v>0.40661157024793387</v>
      </c>
      <c r="X55" s="4">
        <f t="shared" si="15"/>
        <v>0.60826446280991731</v>
      </c>
      <c r="Y55" s="4">
        <f t="shared" si="15"/>
        <v>0.48925619834710743</v>
      </c>
      <c r="Z55" s="4">
        <f t="shared" si="15"/>
        <v>0.17685950413223139</v>
      </c>
      <c r="AA55" s="4">
        <f t="shared" si="15"/>
        <v>0.25950413223140495</v>
      </c>
      <c r="AB55" s="4">
        <f t="shared" si="15"/>
        <v>2.6446280991735537E-2</v>
      </c>
      <c r="AC55" s="4">
        <f t="shared" si="15"/>
        <v>0.33553719008264465</v>
      </c>
      <c r="AD55" s="4">
        <f t="shared" si="15"/>
        <v>0.57520661157024788</v>
      </c>
      <c r="AE55" s="4">
        <f t="shared" si="15"/>
        <v>8.9256198347107435E-2</v>
      </c>
      <c r="AF55" s="4">
        <f t="shared" si="15"/>
        <v>0.15537190082644628</v>
      </c>
      <c r="AG55" s="4">
        <f t="shared" si="15"/>
        <v>0.38016528925619836</v>
      </c>
      <c r="AH55" s="4">
        <f t="shared" si="15"/>
        <v>0.33719008264462808</v>
      </c>
      <c r="AI55" s="4">
        <f t="shared" si="15"/>
        <v>9.4214876033057851E-2</v>
      </c>
      <c r="AJ55" s="4">
        <f t="shared" si="15"/>
        <v>0.60330578512396693</v>
      </c>
      <c r="AK55" s="4">
        <f t="shared" si="15"/>
        <v>0.32066115702479336</v>
      </c>
      <c r="AL55" s="4">
        <f t="shared" si="15"/>
        <v>0.19008264462809918</v>
      </c>
      <c r="AM55" s="4">
        <f t="shared" si="15"/>
        <v>0.28760330578512394</v>
      </c>
      <c r="AN55" s="4">
        <f t="shared" si="15"/>
        <v>4.7933884297520664E-2</v>
      </c>
      <c r="AO55" s="4">
        <f t="shared" si="15"/>
        <v>3.8016528925619832E-2</v>
      </c>
      <c r="AP55" s="4">
        <f t="shared" si="15"/>
        <v>0.11735537190082644</v>
      </c>
      <c r="AQ55" s="4">
        <f t="shared" si="15"/>
        <v>0.48760330578512395</v>
      </c>
      <c r="AR55" s="4">
        <f t="shared" si="15"/>
        <v>0.2628099173553719</v>
      </c>
      <c r="AS55" s="4">
        <f t="shared" si="15"/>
        <v>0.48925619834710743</v>
      </c>
      <c r="AT55" s="4">
        <f t="shared" si="15"/>
        <v>0.13884297520661157</v>
      </c>
      <c r="AU55" s="4">
        <f t="shared" si="15"/>
        <v>1.8181818181818181E-2</v>
      </c>
      <c r="AV55" s="4">
        <f t="shared" si="15"/>
        <v>0.3669421487603306</v>
      </c>
      <c r="AW55" s="4">
        <f t="shared" si="15"/>
        <v>0.36528925619834712</v>
      </c>
      <c r="AX55" s="4">
        <f t="shared" si="15"/>
        <v>0.45123966942148758</v>
      </c>
      <c r="AY55" s="4">
        <f t="shared" si="15"/>
        <v>0.38842975206611569</v>
      </c>
      <c r="AZ55" s="4">
        <f t="shared" si="15"/>
        <v>0.13884297520661157</v>
      </c>
      <c r="BA55" s="4">
        <f t="shared" si="15"/>
        <v>3.4710743801652892E-2</v>
      </c>
      <c r="BB55" s="4">
        <f t="shared" si="15"/>
        <v>0.23966942148760331</v>
      </c>
      <c r="BC55" s="4">
        <f t="shared" si="15"/>
        <v>0.35206611570247937</v>
      </c>
      <c r="BD55" s="4">
        <f t="shared" si="15"/>
        <v>0.28925619834710742</v>
      </c>
      <c r="BE55" s="4">
        <f t="shared" si="15"/>
        <v>0.11900826446280992</v>
      </c>
    </row>
    <row r="56" spans="1:57" s="4" customFormat="1" x14ac:dyDescent="0.25">
      <c r="A56"/>
      <c r="B56"/>
      <c r="C56"/>
      <c r="D56"/>
      <c r="E56" s="2" t="s">
        <v>58</v>
      </c>
      <c r="F56" s="4">
        <f t="shared" si="14"/>
        <v>0.20683760683760682</v>
      </c>
      <c r="G56" s="4">
        <f t="shared" si="15"/>
        <v>0.48547008547008547</v>
      </c>
      <c r="H56" s="4">
        <f t="shared" si="15"/>
        <v>0.19658119658119658</v>
      </c>
      <c r="I56" s="4">
        <f t="shared" si="15"/>
        <v>0.1111111111111111</v>
      </c>
      <c r="J56" s="4">
        <f t="shared" si="15"/>
        <v>0.41880341880341881</v>
      </c>
      <c r="K56" s="4">
        <f t="shared" si="15"/>
        <v>0.51111111111111107</v>
      </c>
      <c r="L56" s="4">
        <f t="shared" si="15"/>
        <v>7.0085470085470086E-2</v>
      </c>
      <c r="M56" s="4">
        <f t="shared" si="15"/>
        <v>0.42905982905982903</v>
      </c>
      <c r="N56" s="4">
        <f t="shared" si="15"/>
        <v>0.7367521367521368</v>
      </c>
      <c r="O56" s="4">
        <f t="shared" si="15"/>
        <v>0.41880341880341881</v>
      </c>
      <c r="P56" s="4">
        <f t="shared" si="15"/>
        <v>0.2153846153846154</v>
      </c>
      <c r="Q56" s="4">
        <f t="shared" si="15"/>
        <v>0.5675213675213675</v>
      </c>
      <c r="R56" s="4">
        <f t="shared" si="15"/>
        <v>0.34358974358974359</v>
      </c>
      <c r="S56" s="4">
        <f t="shared" si="15"/>
        <v>8.8888888888888892E-2</v>
      </c>
      <c r="T56" s="4">
        <f t="shared" si="15"/>
        <v>0.29914529914529914</v>
      </c>
      <c r="U56" s="4">
        <f t="shared" si="15"/>
        <v>0.46837606837606838</v>
      </c>
      <c r="V56" s="4">
        <f t="shared" si="15"/>
        <v>0.23247863247863249</v>
      </c>
      <c r="W56" s="4">
        <f t="shared" si="15"/>
        <v>0.42051282051282052</v>
      </c>
      <c r="X56" s="4">
        <f t="shared" si="15"/>
        <v>0.61367521367521372</v>
      </c>
      <c r="Y56" s="4">
        <f t="shared" si="15"/>
        <v>0.45299145299145299</v>
      </c>
      <c r="Z56" s="4">
        <f t="shared" si="15"/>
        <v>0.15042735042735042</v>
      </c>
      <c r="AA56" s="4">
        <f t="shared" si="15"/>
        <v>0.29059829059829062</v>
      </c>
      <c r="AB56" s="4">
        <f t="shared" si="15"/>
        <v>3.7606837606837605E-2</v>
      </c>
      <c r="AC56" s="4">
        <f t="shared" si="15"/>
        <v>0.38974358974358975</v>
      </c>
      <c r="AD56" s="4">
        <f t="shared" si="15"/>
        <v>0.517948717948718</v>
      </c>
      <c r="AE56" s="4">
        <f t="shared" si="15"/>
        <v>9.2307692307692313E-2</v>
      </c>
      <c r="AF56" s="4">
        <f t="shared" si="15"/>
        <v>0.17777777777777778</v>
      </c>
      <c r="AG56" s="4">
        <f t="shared" si="15"/>
        <v>0.41880341880341881</v>
      </c>
      <c r="AH56" s="4">
        <f t="shared" si="15"/>
        <v>0.26495726495726496</v>
      </c>
      <c r="AI56" s="4">
        <f t="shared" si="15"/>
        <v>9.7435897435897437E-2</v>
      </c>
      <c r="AJ56" s="4">
        <f t="shared" si="15"/>
        <v>0.66324786324786322</v>
      </c>
      <c r="AK56" s="4">
        <f t="shared" si="15"/>
        <v>0.23076923076923078</v>
      </c>
      <c r="AL56" s="4">
        <f t="shared" si="15"/>
        <v>0.16923076923076924</v>
      </c>
      <c r="AM56" s="4">
        <f t="shared" si="15"/>
        <v>0.31452991452991452</v>
      </c>
      <c r="AN56" s="4">
        <f t="shared" si="15"/>
        <v>7.0085470085470086E-2</v>
      </c>
      <c r="AO56" s="4">
        <f t="shared" si="15"/>
        <v>7.179487179487179E-2</v>
      </c>
      <c r="AP56" s="4">
        <f t="shared" si="15"/>
        <v>0.11282051282051282</v>
      </c>
      <c r="AQ56" s="4">
        <f t="shared" si="15"/>
        <v>0.42051282051282052</v>
      </c>
      <c r="AR56" s="4">
        <f t="shared" si="15"/>
        <v>0.24615384615384617</v>
      </c>
      <c r="AS56" s="4">
        <f t="shared" si="15"/>
        <v>0.52478632478632481</v>
      </c>
      <c r="AT56" s="4">
        <f t="shared" si="15"/>
        <v>0.14188034188034188</v>
      </c>
      <c r="AU56" s="4">
        <f t="shared" si="15"/>
        <v>2.735042735042735E-2</v>
      </c>
      <c r="AV56" s="4">
        <f t="shared" si="15"/>
        <v>0.35555555555555557</v>
      </c>
      <c r="AW56" s="4">
        <f t="shared" si="15"/>
        <v>0.30940170940170941</v>
      </c>
      <c r="AX56" s="4">
        <f t="shared" si="15"/>
        <v>0.43931623931623931</v>
      </c>
      <c r="AY56" s="4">
        <f t="shared" si="15"/>
        <v>0.33333333333333331</v>
      </c>
      <c r="AZ56" s="4">
        <f t="shared" si="15"/>
        <v>0.15384615384615385</v>
      </c>
      <c r="BA56" s="4">
        <f t="shared" si="15"/>
        <v>7.6923076923076927E-2</v>
      </c>
      <c r="BB56" s="4">
        <f t="shared" si="15"/>
        <v>0.24786324786324787</v>
      </c>
      <c r="BC56" s="4">
        <f t="shared" si="15"/>
        <v>0.31111111111111112</v>
      </c>
      <c r="BD56" s="4">
        <f t="shared" si="15"/>
        <v>0.31111111111111112</v>
      </c>
      <c r="BE56" s="4">
        <f t="shared" si="15"/>
        <v>0.12991452991452992</v>
      </c>
    </row>
    <row r="57" spans="1:57" s="4" customFormat="1" x14ac:dyDescent="0.25">
      <c r="A57"/>
      <c r="B57"/>
      <c r="C57"/>
      <c r="D57"/>
      <c r="E57" s="2" t="s">
        <v>59</v>
      </c>
      <c r="F57" s="4">
        <f t="shared" si="14"/>
        <v>0.18076477404403243</v>
      </c>
      <c r="G57" s="4">
        <f t="shared" si="15"/>
        <v>0.46118192352259557</v>
      </c>
      <c r="H57" s="4">
        <f t="shared" si="15"/>
        <v>0.16222479721900349</v>
      </c>
      <c r="I57" s="4">
        <f t="shared" si="15"/>
        <v>0.19582850521436848</v>
      </c>
      <c r="J57" s="4">
        <f t="shared" si="15"/>
        <v>0.47972190034762457</v>
      </c>
      <c r="K57" s="4">
        <f t="shared" si="15"/>
        <v>0.46465816917728853</v>
      </c>
      <c r="L57" s="4">
        <f t="shared" si="15"/>
        <v>5.5619930475086905E-2</v>
      </c>
      <c r="M57" s="4">
        <f t="shared" si="15"/>
        <v>0.45307068366164543</v>
      </c>
      <c r="N57" s="4">
        <f t="shared" si="15"/>
        <v>0.81691772885283898</v>
      </c>
      <c r="O57" s="4">
        <f t="shared" si="15"/>
        <v>0.36964078794901506</v>
      </c>
      <c r="P57" s="4">
        <f t="shared" si="15"/>
        <v>0.22827346465816917</v>
      </c>
      <c r="Q57" s="4">
        <f t="shared" si="15"/>
        <v>0.57937427578215528</v>
      </c>
      <c r="R57" s="4">
        <f t="shared" si="15"/>
        <v>0.33487833140208573</v>
      </c>
      <c r="S57" s="4">
        <f t="shared" si="15"/>
        <v>8.574739281575898E-2</v>
      </c>
      <c r="T57" s="4">
        <f t="shared" si="15"/>
        <v>0.34183082271147164</v>
      </c>
      <c r="U57" s="4">
        <f t="shared" si="15"/>
        <v>0.40440324449594439</v>
      </c>
      <c r="V57" s="4">
        <f t="shared" si="15"/>
        <v>0.25376593279258403</v>
      </c>
      <c r="W57" s="4">
        <f t="shared" si="15"/>
        <v>0.47276940903823872</v>
      </c>
      <c r="X57" s="4">
        <f t="shared" si="15"/>
        <v>0.69640787949015059</v>
      </c>
      <c r="Y57" s="4">
        <f t="shared" si="15"/>
        <v>0.42641946697566629</v>
      </c>
      <c r="Z57" s="4">
        <f t="shared" si="15"/>
        <v>0.11703360370799537</v>
      </c>
      <c r="AA57" s="4">
        <f t="shared" si="15"/>
        <v>0.33140208574739283</v>
      </c>
      <c r="AB57" s="4">
        <f t="shared" si="15"/>
        <v>6.9524913093858637E-2</v>
      </c>
      <c r="AC57" s="4">
        <f t="shared" si="15"/>
        <v>0.38006952491309387</v>
      </c>
      <c r="AD57" s="4">
        <f t="shared" si="15"/>
        <v>0.48899188876013905</v>
      </c>
      <c r="AE57" s="4">
        <f t="shared" si="15"/>
        <v>0.13093858632676708</v>
      </c>
      <c r="AF57" s="4">
        <f t="shared" si="15"/>
        <v>0.2665121668597914</v>
      </c>
      <c r="AG57" s="4">
        <f t="shared" si="15"/>
        <v>0.39397450753186558</v>
      </c>
      <c r="AH57" s="4">
        <f t="shared" si="15"/>
        <v>0.23059096176129779</v>
      </c>
      <c r="AI57" s="4">
        <f t="shared" si="15"/>
        <v>7.4159907300115874E-2</v>
      </c>
      <c r="AJ57" s="4">
        <f t="shared" si="15"/>
        <v>0.74739281575898031</v>
      </c>
      <c r="AK57" s="4">
        <f t="shared" si="15"/>
        <v>0.18076477404403243</v>
      </c>
      <c r="AL57" s="4">
        <f t="shared" si="15"/>
        <v>7.7636152954808801E-2</v>
      </c>
      <c r="AM57" s="4">
        <f t="shared" si="15"/>
        <v>0.28389339513325607</v>
      </c>
      <c r="AN57" s="4">
        <f t="shared" si="15"/>
        <v>4.1714947856315181E-2</v>
      </c>
      <c r="AO57" s="4">
        <f t="shared" si="15"/>
        <v>0.10776361529548088</v>
      </c>
      <c r="AP57" s="4">
        <f t="shared" si="15"/>
        <v>0.16801853997682503</v>
      </c>
      <c r="AQ57" s="4">
        <f t="shared" si="15"/>
        <v>0.33256083429895711</v>
      </c>
      <c r="AR57" s="4">
        <f t="shared" si="15"/>
        <v>0.20393974507531865</v>
      </c>
      <c r="AS57" s="4">
        <f t="shared" si="15"/>
        <v>0.54229432213209738</v>
      </c>
      <c r="AT57" s="4">
        <f t="shared" si="15"/>
        <v>0.13789107763615296</v>
      </c>
      <c r="AU57" s="4">
        <f t="shared" si="15"/>
        <v>5.909617612977984E-2</v>
      </c>
      <c r="AV57" s="4">
        <f t="shared" si="15"/>
        <v>0.39976825028968715</v>
      </c>
      <c r="AW57" s="4">
        <f t="shared" si="15"/>
        <v>0.27578215527230593</v>
      </c>
      <c r="AX57" s="4">
        <f t="shared" si="15"/>
        <v>0.42989571263035919</v>
      </c>
      <c r="AY57" s="4">
        <f t="shared" si="15"/>
        <v>0.34183082271147164</v>
      </c>
      <c r="AZ57" s="4">
        <f t="shared" si="15"/>
        <v>0.13209733487833139</v>
      </c>
      <c r="BA57" s="4">
        <f t="shared" si="15"/>
        <v>0.13209733487833139</v>
      </c>
      <c r="BB57" s="4">
        <f t="shared" si="15"/>
        <v>0.29432213209733488</v>
      </c>
      <c r="BC57" s="4">
        <f t="shared" si="15"/>
        <v>0.29316338354577059</v>
      </c>
      <c r="BD57" s="4">
        <f t="shared" si="15"/>
        <v>0.23754345307068367</v>
      </c>
      <c r="BE57" s="4">
        <f t="shared" si="15"/>
        <v>0.17497103128621089</v>
      </c>
    </row>
    <row r="59" spans="1:57" ht="202.05" customHeight="1" x14ac:dyDescent="0.25"/>
    <row r="60" spans="1:57" s="3" customFormat="1" ht="17.399999999999999" x14ac:dyDescent="0.25">
      <c r="A60" s="6" t="s">
        <v>90</v>
      </c>
    </row>
    <row r="61" spans="1:57" x14ac:dyDescent="0.25">
      <c r="F61" s="1" t="s">
        <v>75</v>
      </c>
      <c r="G61" s="1" t="s">
        <v>76</v>
      </c>
      <c r="H61" s="1" t="s">
        <v>77</v>
      </c>
      <c r="I61" s="1" t="s">
        <v>78</v>
      </c>
      <c r="J61" s="2" t="s">
        <v>1</v>
      </c>
      <c r="K61" t="s">
        <v>34</v>
      </c>
      <c r="L61" t="s">
        <v>43</v>
      </c>
      <c r="M61" t="s">
        <v>27</v>
      </c>
      <c r="N61" t="s">
        <v>2</v>
      </c>
      <c r="O61" t="s">
        <v>28</v>
      </c>
      <c r="P61" t="s">
        <v>17</v>
      </c>
      <c r="Q61" t="s">
        <v>3</v>
      </c>
      <c r="R61" t="s">
        <v>29</v>
      </c>
      <c r="S61" t="s">
        <v>41</v>
      </c>
      <c r="T61" t="s">
        <v>4</v>
      </c>
      <c r="U61" t="s">
        <v>18</v>
      </c>
      <c r="V61" t="s">
        <v>21</v>
      </c>
      <c r="W61" t="s">
        <v>5</v>
      </c>
      <c r="X61" t="s">
        <v>6</v>
      </c>
      <c r="Y61" t="s">
        <v>7</v>
      </c>
      <c r="Z61" t="s">
        <v>8</v>
      </c>
      <c r="AA61" t="s">
        <v>30</v>
      </c>
      <c r="AB61" t="s">
        <v>79</v>
      </c>
      <c r="AC61" t="s">
        <v>9</v>
      </c>
      <c r="AD61" t="s">
        <v>22</v>
      </c>
      <c r="AE61" t="s">
        <v>36</v>
      </c>
      <c r="AF61" t="s">
        <v>86</v>
      </c>
      <c r="AG61" t="s">
        <v>10</v>
      </c>
      <c r="AH61" t="s">
        <v>39</v>
      </c>
      <c r="AI61" t="s">
        <v>23</v>
      </c>
      <c r="AJ61" t="s">
        <v>11</v>
      </c>
      <c r="AK61" t="s">
        <v>12</v>
      </c>
      <c r="AL61" t="s">
        <v>37</v>
      </c>
      <c r="AM61" t="s">
        <v>31</v>
      </c>
      <c r="AN61" t="s">
        <v>38</v>
      </c>
      <c r="AO61" t="s">
        <v>80</v>
      </c>
      <c r="AP61" t="s">
        <v>85</v>
      </c>
      <c r="AQ61" t="s">
        <v>19</v>
      </c>
      <c r="AR61" t="s">
        <v>32</v>
      </c>
      <c r="AS61" t="s">
        <v>13</v>
      </c>
      <c r="AT61" t="s">
        <v>81</v>
      </c>
      <c r="AU61" t="s">
        <v>82</v>
      </c>
      <c r="AV61" t="s">
        <v>24</v>
      </c>
      <c r="AW61" t="s">
        <v>35</v>
      </c>
      <c r="AX61" t="s">
        <v>14</v>
      </c>
      <c r="AY61" t="s">
        <v>25</v>
      </c>
      <c r="AZ61" t="s">
        <v>83</v>
      </c>
      <c r="BA61" t="s">
        <v>84</v>
      </c>
      <c r="BB61" t="s">
        <v>40</v>
      </c>
      <c r="BC61" t="s">
        <v>33</v>
      </c>
      <c r="BD61" t="s">
        <v>15</v>
      </c>
      <c r="BE61" t="s">
        <v>26</v>
      </c>
    </row>
    <row r="62" spans="1:57" x14ac:dyDescent="0.25">
      <c r="A62" s="10" t="s">
        <v>88</v>
      </c>
      <c r="B62" s="8">
        <f>SUM(F62:I62)</f>
        <v>416</v>
      </c>
      <c r="D62" s="2" t="s">
        <v>54</v>
      </c>
      <c r="E62" s="2" t="s">
        <v>64</v>
      </c>
      <c r="F62">
        <v>143</v>
      </c>
      <c r="G62">
        <v>132</v>
      </c>
      <c r="H62">
        <v>101</v>
      </c>
      <c r="I62">
        <v>40</v>
      </c>
      <c r="J62">
        <v>176</v>
      </c>
      <c r="K62">
        <v>208</v>
      </c>
      <c r="L62">
        <v>32</v>
      </c>
      <c r="M62">
        <v>196</v>
      </c>
      <c r="N62">
        <v>226</v>
      </c>
      <c r="O62">
        <v>71</v>
      </c>
      <c r="P62">
        <v>39</v>
      </c>
      <c r="Q62">
        <v>221</v>
      </c>
      <c r="R62">
        <v>150</v>
      </c>
      <c r="S62">
        <v>45</v>
      </c>
      <c r="T62">
        <v>191</v>
      </c>
      <c r="U62">
        <v>169</v>
      </c>
      <c r="V62">
        <v>56</v>
      </c>
      <c r="W62">
        <v>172</v>
      </c>
      <c r="X62">
        <v>217</v>
      </c>
      <c r="Y62">
        <v>80</v>
      </c>
      <c r="Z62">
        <v>26</v>
      </c>
      <c r="AA62">
        <v>52</v>
      </c>
      <c r="AB62">
        <v>26</v>
      </c>
      <c r="AC62">
        <v>218</v>
      </c>
      <c r="AD62">
        <v>121</v>
      </c>
      <c r="AE62">
        <v>77</v>
      </c>
      <c r="AF62">
        <v>191</v>
      </c>
      <c r="AG62">
        <v>170</v>
      </c>
      <c r="AH62">
        <v>37</v>
      </c>
      <c r="AI62">
        <v>8</v>
      </c>
      <c r="AJ62">
        <v>212</v>
      </c>
      <c r="AK62">
        <v>61</v>
      </c>
      <c r="AL62">
        <v>36</v>
      </c>
      <c r="AM62">
        <v>82</v>
      </c>
      <c r="AN62">
        <v>72</v>
      </c>
      <c r="AO62">
        <v>42</v>
      </c>
      <c r="AP62">
        <v>131</v>
      </c>
      <c r="AQ62">
        <v>176</v>
      </c>
      <c r="AR62">
        <v>63</v>
      </c>
      <c r="AS62">
        <v>86</v>
      </c>
      <c r="AT62">
        <v>31</v>
      </c>
      <c r="AU62">
        <v>20</v>
      </c>
      <c r="AV62">
        <v>196</v>
      </c>
      <c r="AW62">
        <v>156</v>
      </c>
      <c r="AX62">
        <v>80</v>
      </c>
      <c r="AY62">
        <v>75</v>
      </c>
      <c r="AZ62">
        <v>27</v>
      </c>
      <c r="BA62">
        <v>32</v>
      </c>
      <c r="BB62">
        <v>233</v>
      </c>
      <c r="BC62">
        <v>143</v>
      </c>
      <c r="BD62">
        <v>28</v>
      </c>
      <c r="BE62">
        <v>12</v>
      </c>
    </row>
    <row r="63" spans="1:57" x14ac:dyDescent="0.25">
      <c r="A63" s="8"/>
      <c r="B63" s="8">
        <f>SUM(F63:I63)</f>
        <v>714</v>
      </c>
      <c r="E63" s="2" t="s">
        <v>65</v>
      </c>
      <c r="F63">
        <v>125</v>
      </c>
      <c r="G63">
        <v>373</v>
      </c>
      <c r="H63">
        <v>171</v>
      </c>
      <c r="I63">
        <v>45</v>
      </c>
      <c r="J63">
        <v>230</v>
      </c>
      <c r="K63">
        <v>438</v>
      </c>
      <c r="L63">
        <v>46</v>
      </c>
      <c r="M63">
        <v>256</v>
      </c>
      <c r="N63">
        <v>448</v>
      </c>
      <c r="O63">
        <v>287</v>
      </c>
      <c r="P63">
        <v>108</v>
      </c>
      <c r="Q63">
        <v>317</v>
      </c>
      <c r="R63">
        <v>324</v>
      </c>
      <c r="S63">
        <v>73</v>
      </c>
      <c r="T63">
        <v>201</v>
      </c>
      <c r="U63">
        <v>387</v>
      </c>
      <c r="V63">
        <v>126</v>
      </c>
      <c r="W63">
        <v>257</v>
      </c>
      <c r="X63">
        <v>430</v>
      </c>
      <c r="Y63">
        <v>315</v>
      </c>
      <c r="Z63">
        <v>106</v>
      </c>
      <c r="AA63">
        <v>147</v>
      </c>
      <c r="AB63">
        <v>30</v>
      </c>
      <c r="AC63">
        <v>265</v>
      </c>
      <c r="AD63">
        <v>374</v>
      </c>
      <c r="AE63">
        <v>74</v>
      </c>
      <c r="AF63">
        <v>132</v>
      </c>
      <c r="AG63">
        <v>308</v>
      </c>
      <c r="AH63">
        <v>204</v>
      </c>
      <c r="AI63">
        <v>57</v>
      </c>
      <c r="AJ63">
        <v>359</v>
      </c>
      <c r="AK63">
        <v>191</v>
      </c>
      <c r="AL63">
        <v>188</v>
      </c>
      <c r="AM63">
        <v>198</v>
      </c>
      <c r="AN63">
        <v>40</v>
      </c>
      <c r="AO63">
        <v>37</v>
      </c>
      <c r="AP63">
        <v>104</v>
      </c>
      <c r="AQ63">
        <v>282</v>
      </c>
      <c r="AR63">
        <v>198</v>
      </c>
      <c r="AS63">
        <v>314</v>
      </c>
      <c r="AT63">
        <v>77</v>
      </c>
      <c r="AU63">
        <v>23</v>
      </c>
      <c r="AV63">
        <v>236</v>
      </c>
      <c r="AW63">
        <v>270</v>
      </c>
      <c r="AX63">
        <v>270</v>
      </c>
      <c r="AY63">
        <v>205</v>
      </c>
      <c r="AZ63">
        <v>86</v>
      </c>
      <c r="BA63">
        <v>40</v>
      </c>
      <c r="BB63">
        <v>187</v>
      </c>
      <c r="BC63">
        <v>300</v>
      </c>
      <c r="BD63">
        <v>169</v>
      </c>
      <c r="BE63">
        <v>58</v>
      </c>
    </row>
    <row r="64" spans="1:57" x14ac:dyDescent="0.25">
      <c r="A64" s="8"/>
      <c r="B64" s="8">
        <f t="shared" ref="B64:B68" si="16">SUM(F64:I64)</f>
        <v>778</v>
      </c>
      <c r="E64" s="2" t="s">
        <v>66</v>
      </c>
      <c r="F64">
        <v>177</v>
      </c>
      <c r="G64">
        <v>386</v>
      </c>
      <c r="H64">
        <v>142</v>
      </c>
      <c r="I64">
        <v>73</v>
      </c>
      <c r="J64">
        <v>333</v>
      </c>
      <c r="K64">
        <v>384</v>
      </c>
      <c r="L64">
        <v>61</v>
      </c>
      <c r="M64">
        <v>308</v>
      </c>
      <c r="N64">
        <v>568</v>
      </c>
      <c r="O64">
        <v>292</v>
      </c>
      <c r="P64">
        <v>170</v>
      </c>
      <c r="Q64">
        <v>412</v>
      </c>
      <c r="R64">
        <v>278</v>
      </c>
      <c r="S64">
        <v>88</v>
      </c>
      <c r="T64">
        <v>234</v>
      </c>
      <c r="U64">
        <v>358</v>
      </c>
      <c r="V64">
        <v>186</v>
      </c>
      <c r="W64">
        <v>342</v>
      </c>
      <c r="X64">
        <v>470</v>
      </c>
      <c r="Y64">
        <v>388</v>
      </c>
      <c r="Z64">
        <v>141</v>
      </c>
      <c r="AA64">
        <v>199</v>
      </c>
      <c r="AB64">
        <v>27</v>
      </c>
      <c r="AC64">
        <v>291</v>
      </c>
      <c r="AD64">
        <v>405</v>
      </c>
      <c r="AE64">
        <v>82</v>
      </c>
      <c r="AF64">
        <v>95</v>
      </c>
      <c r="AG64">
        <v>283</v>
      </c>
      <c r="AH64">
        <v>265</v>
      </c>
      <c r="AI64">
        <v>118</v>
      </c>
      <c r="AJ64">
        <v>504</v>
      </c>
      <c r="AK64">
        <v>199</v>
      </c>
      <c r="AL64">
        <v>140</v>
      </c>
      <c r="AM64">
        <v>216</v>
      </c>
      <c r="AN64">
        <v>65</v>
      </c>
      <c r="AO64">
        <v>31</v>
      </c>
      <c r="AP64">
        <v>90</v>
      </c>
      <c r="AQ64">
        <v>318</v>
      </c>
      <c r="AR64">
        <v>181</v>
      </c>
      <c r="AS64">
        <v>421</v>
      </c>
      <c r="AT64">
        <v>107</v>
      </c>
      <c r="AU64">
        <v>26</v>
      </c>
      <c r="AV64">
        <v>268</v>
      </c>
      <c r="AW64">
        <v>244</v>
      </c>
      <c r="AX64">
        <v>358</v>
      </c>
      <c r="AY64">
        <v>290</v>
      </c>
      <c r="AZ64">
        <v>126</v>
      </c>
      <c r="BA64">
        <v>44</v>
      </c>
      <c r="BB64">
        <v>150</v>
      </c>
      <c r="BC64">
        <v>262</v>
      </c>
      <c r="BD64">
        <v>247</v>
      </c>
      <c r="BE64">
        <v>119</v>
      </c>
    </row>
    <row r="65" spans="1:57" x14ac:dyDescent="0.25">
      <c r="A65" s="8"/>
      <c r="B65" s="8">
        <f>SUM(F65:I65)</f>
        <v>1234</v>
      </c>
      <c r="E65" s="2" t="s">
        <v>67</v>
      </c>
      <c r="F65">
        <v>554</v>
      </c>
      <c r="G65">
        <v>468</v>
      </c>
      <c r="H65">
        <v>52</v>
      </c>
      <c r="I65">
        <v>160</v>
      </c>
      <c r="J65">
        <v>833</v>
      </c>
      <c r="K65">
        <v>371</v>
      </c>
      <c r="L65">
        <v>30</v>
      </c>
      <c r="M65">
        <v>581</v>
      </c>
      <c r="N65">
        <v>1009</v>
      </c>
      <c r="O65">
        <v>475</v>
      </c>
      <c r="P65">
        <v>309</v>
      </c>
      <c r="Q65">
        <v>845</v>
      </c>
      <c r="R65">
        <v>323</v>
      </c>
      <c r="S65">
        <v>66</v>
      </c>
      <c r="T65">
        <v>482</v>
      </c>
      <c r="U65">
        <v>446</v>
      </c>
      <c r="V65">
        <v>306</v>
      </c>
      <c r="W65">
        <v>753</v>
      </c>
      <c r="X65">
        <v>766</v>
      </c>
      <c r="Y65">
        <v>641</v>
      </c>
      <c r="Z65">
        <v>232</v>
      </c>
      <c r="AA65">
        <v>444</v>
      </c>
      <c r="AB65">
        <v>58</v>
      </c>
      <c r="AC65">
        <v>678</v>
      </c>
      <c r="AD65">
        <v>460</v>
      </c>
      <c r="AE65">
        <v>96</v>
      </c>
      <c r="AF65">
        <v>195</v>
      </c>
      <c r="AG65">
        <v>446</v>
      </c>
      <c r="AH65">
        <v>303</v>
      </c>
      <c r="AI65">
        <v>186</v>
      </c>
      <c r="AJ65">
        <v>989</v>
      </c>
      <c r="AK65">
        <v>262</v>
      </c>
      <c r="AL65">
        <v>165</v>
      </c>
      <c r="AM65">
        <v>432</v>
      </c>
      <c r="AN65">
        <v>63</v>
      </c>
      <c r="AO65">
        <v>78</v>
      </c>
      <c r="AP65">
        <v>158</v>
      </c>
      <c r="AQ65">
        <v>484</v>
      </c>
      <c r="AR65">
        <v>269</v>
      </c>
      <c r="AS65">
        <v>792</v>
      </c>
      <c r="AT65">
        <v>227</v>
      </c>
      <c r="AU65">
        <v>37</v>
      </c>
      <c r="AV65">
        <v>559</v>
      </c>
      <c r="AW65">
        <v>340</v>
      </c>
      <c r="AX65">
        <v>555</v>
      </c>
      <c r="AY65">
        <v>505</v>
      </c>
      <c r="AZ65">
        <v>215</v>
      </c>
      <c r="BA65">
        <v>79</v>
      </c>
      <c r="BB65">
        <v>258</v>
      </c>
      <c r="BC65">
        <v>274</v>
      </c>
      <c r="BD65">
        <v>341</v>
      </c>
      <c r="BE65">
        <v>361</v>
      </c>
    </row>
    <row r="66" spans="1:57" x14ac:dyDescent="0.25">
      <c r="A66" s="8"/>
      <c r="B66" s="8">
        <f t="shared" si="16"/>
        <v>230</v>
      </c>
      <c r="D66" s="2" t="s">
        <v>55</v>
      </c>
      <c r="E66" s="2" t="s">
        <v>64</v>
      </c>
      <c r="F66">
        <v>42</v>
      </c>
      <c r="G66">
        <v>70</v>
      </c>
      <c r="H66">
        <v>86</v>
      </c>
      <c r="I66">
        <v>32</v>
      </c>
      <c r="J66">
        <v>76</v>
      </c>
      <c r="K66">
        <v>123</v>
      </c>
      <c r="L66">
        <v>31</v>
      </c>
      <c r="M66">
        <v>94</v>
      </c>
      <c r="N66">
        <v>137</v>
      </c>
      <c r="O66">
        <v>68</v>
      </c>
      <c r="P66">
        <v>32</v>
      </c>
      <c r="Q66">
        <v>115</v>
      </c>
      <c r="R66">
        <v>90</v>
      </c>
      <c r="S66">
        <v>25</v>
      </c>
      <c r="T66">
        <v>107</v>
      </c>
      <c r="U66">
        <v>82</v>
      </c>
      <c r="V66">
        <v>41</v>
      </c>
      <c r="W66">
        <v>87</v>
      </c>
      <c r="X66">
        <v>128</v>
      </c>
      <c r="Y66">
        <v>62</v>
      </c>
      <c r="Z66">
        <v>30</v>
      </c>
      <c r="AA66">
        <v>39</v>
      </c>
      <c r="AB66">
        <v>14</v>
      </c>
      <c r="AC66">
        <v>70</v>
      </c>
      <c r="AD66">
        <v>105</v>
      </c>
      <c r="AE66">
        <v>55</v>
      </c>
      <c r="AF66">
        <v>98</v>
      </c>
      <c r="AG66">
        <v>87</v>
      </c>
      <c r="AH66">
        <v>33</v>
      </c>
      <c r="AI66">
        <v>9</v>
      </c>
      <c r="AJ66">
        <v>141</v>
      </c>
      <c r="AK66">
        <v>35</v>
      </c>
      <c r="AL66">
        <v>27</v>
      </c>
      <c r="AM66">
        <v>48</v>
      </c>
      <c r="AN66">
        <v>9</v>
      </c>
      <c r="AO66">
        <v>34</v>
      </c>
      <c r="AP66">
        <v>75</v>
      </c>
      <c r="AQ66">
        <v>77</v>
      </c>
      <c r="AR66">
        <v>42</v>
      </c>
      <c r="AS66">
        <v>63</v>
      </c>
      <c r="AT66">
        <v>24</v>
      </c>
      <c r="AU66">
        <v>11</v>
      </c>
      <c r="AV66">
        <v>90</v>
      </c>
      <c r="AW66">
        <v>62</v>
      </c>
      <c r="AX66">
        <v>79</v>
      </c>
      <c r="AY66">
        <v>58</v>
      </c>
      <c r="AZ66">
        <v>28</v>
      </c>
      <c r="BA66">
        <v>22</v>
      </c>
      <c r="BB66">
        <v>121</v>
      </c>
      <c r="BC66">
        <v>69</v>
      </c>
      <c r="BD66">
        <v>27</v>
      </c>
      <c r="BE66">
        <v>13</v>
      </c>
    </row>
    <row r="67" spans="1:57" x14ac:dyDescent="0.25">
      <c r="A67" s="8"/>
      <c r="B67" s="8">
        <f t="shared" si="16"/>
        <v>591</v>
      </c>
      <c r="D67" s="2"/>
      <c r="E67" s="2" t="s">
        <v>65</v>
      </c>
      <c r="F67">
        <v>69</v>
      </c>
      <c r="G67">
        <v>339</v>
      </c>
      <c r="H67">
        <v>136</v>
      </c>
      <c r="I67">
        <v>47</v>
      </c>
      <c r="J67">
        <v>196</v>
      </c>
      <c r="K67">
        <v>353</v>
      </c>
      <c r="L67">
        <v>42</v>
      </c>
      <c r="M67">
        <v>230</v>
      </c>
      <c r="N67">
        <v>446</v>
      </c>
      <c r="O67">
        <v>222</v>
      </c>
      <c r="P67">
        <v>114</v>
      </c>
      <c r="Q67">
        <v>282</v>
      </c>
      <c r="R67">
        <v>259</v>
      </c>
      <c r="S67">
        <v>50</v>
      </c>
      <c r="T67">
        <v>163</v>
      </c>
      <c r="U67">
        <v>303</v>
      </c>
      <c r="V67">
        <v>125</v>
      </c>
      <c r="W67">
        <v>203</v>
      </c>
      <c r="X67">
        <v>401</v>
      </c>
      <c r="Y67">
        <v>241</v>
      </c>
      <c r="Z67">
        <v>85</v>
      </c>
      <c r="AA67">
        <v>154</v>
      </c>
      <c r="AB67">
        <v>20</v>
      </c>
      <c r="AC67">
        <v>192</v>
      </c>
      <c r="AD67">
        <v>339</v>
      </c>
      <c r="AE67">
        <v>59</v>
      </c>
      <c r="AF67">
        <v>120</v>
      </c>
      <c r="AG67">
        <v>275</v>
      </c>
      <c r="AH67">
        <v>151</v>
      </c>
      <c r="AI67">
        <v>37</v>
      </c>
      <c r="AJ67">
        <v>369</v>
      </c>
      <c r="AK67">
        <v>147</v>
      </c>
      <c r="AL67">
        <v>107</v>
      </c>
      <c r="AM67">
        <v>180</v>
      </c>
      <c r="AN67">
        <v>28</v>
      </c>
      <c r="AO67">
        <v>43</v>
      </c>
      <c r="AP67">
        <v>84</v>
      </c>
      <c r="AQ67">
        <v>234</v>
      </c>
      <c r="AR67">
        <v>148</v>
      </c>
      <c r="AS67">
        <v>286</v>
      </c>
      <c r="AT67">
        <v>82</v>
      </c>
      <c r="AU67">
        <v>23</v>
      </c>
      <c r="AV67">
        <v>213</v>
      </c>
      <c r="AW67">
        <v>217</v>
      </c>
      <c r="AX67">
        <v>257</v>
      </c>
      <c r="AY67">
        <v>198</v>
      </c>
      <c r="AZ67">
        <v>71</v>
      </c>
      <c r="BA67">
        <v>35</v>
      </c>
      <c r="BB67">
        <v>164</v>
      </c>
      <c r="BC67">
        <v>232</v>
      </c>
      <c r="BD67">
        <v>169</v>
      </c>
      <c r="BE67">
        <v>26</v>
      </c>
    </row>
    <row r="68" spans="1:57" x14ac:dyDescent="0.25">
      <c r="A68" s="8"/>
      <c r="B68" s="8">
        <f t="shared" si="16"/>
        <v>592</v>
      </c>
      <c r="E68" s="2" t="s">
        <v>66</v>
      </c>
      <c r="F68">
        <v>96</v>
      </c>
      <c r="G68">
        <v>316</v>
      </c>
      <c r="H68">
        <v>116</v>
      </c>
      <c r="I68">
        <v>64</v>
      </c>
      <c r="J68">
        <v>241</v>
      </c>
      <c r="K68">
        <v>309</v>
      </c>
      <c r="L68">
        <v>42</v>
      </c>
      <c r="M68">
        <v>238</v>
      </c>
      <c r="N68">
        <v>455</v>
      </c>
      <c r="O68">
        <v>228</v>
      </c>
      <c r="P68">
        <v>132</v>
      </c>
      <c r="Q68">
        <v>314</v>
      </c>
      <c r="R68">
        <v>220</v>
      </c>
      <c r="S68">
        <v>58</v>
      </c>
      <c r="T68">
        <v>178</v>
      </c>
      <c r="U68">
        <v>297</v>
      </c>
      <c r="V68">
        <v>117</v>
      </c>
      <c r="W68">
        <v>261</v>
      </c>
      <c r="X68">
        <v>379</v>
      </c>
      <c r="Y68">
        <v>282</v>
      </c>
      <c r="Z68">
        <v>85</v>
      </c>
      <c r="AA68">
        <v>175</v>
      </c>
      <c r="AB68">
        <v>21</v>
      </c>
      <c r="AC68">
        <v>194</v>
      </c>
      <c r="AD68">
        <v>326</v>
      </c>
      <c r="AE68">
        <v>72</v>
      </c>
      <c r="AF68">
        <v>107</v>
      </c>
      <c r="AG68">
        <v>214</v>
      </c>
      <c r="AH68">
        <v>188</v>
      </c>
      <c r="AI68">
        <v>70</v>
      </c>
      <c r="AJ68">
        <v>407</v>
      </c>
      <c r="AK68">
        <v>138</v>
      </c>
      <c r="AL68">
        <v>94</v>
      </c>
      <c r="AM68">
        <v>183</v>
      </c>
      <c r="AN68">
        <v>29</v>
      </c>
      <c r="AO68">
        <v>33</v>
      </c>
      <c r="AP68">
        <v>68</v>
      </c>
      <c r="AQ68">
        <v>241</v>
      </c>
      <c r="AR68">
        <v>152</v>
      </c>
      <c r="AS68">
        <v>321</v>
      </c>
      <c r="AT68">
        <v>89</v>
      </c>
      <c r="AU68">
        <v>12</v>
      </c>
      <c r="AV68">
        <v>204</v>
      </c>
      <c r="AW68">
        <v>198</v>
      </c>
      <c r="AX68">
        <v>284</v>
      </c>
      <c r="AY68">
        <v>209</v>
      </c>
      <c r="AZ68">
        <v>87</v>
      </c>
      <c r="BA68">
        <v>36</v>
      </c>
      <c r="BB68">
        <v>128</v>
      </c>
      <c r="BC68">
        <v>206</v>
      </c>
      <c r="BD68">
        <v>192</v>
      </c>
      <c r="BE68">
        <v>66</v>
      </c>
    </row>
    <row r="69" spans="1:57" x14ac:dyDescent="0.25">
      <c r="A69" s="8"/>
      <c r="B69" s="8">
        <f>SUM(F69:I69)</f>
        <v>866</v>
      </c>
      <c r="E69" s="2" t="s">
        <v>67</v>
      </c>
      <c r="F69">
        <v>246</v>
      </c>
      <c r="G69">
        <v>388</v>
      </c>
      <c r="H69">
        <v>69</v>
      </c>
      <c r="I69">
        <v>163</v>
      </c>
      <c r="J69">
        <v>537</v>
      </c>
      <c r="K69">
        <v>300</v>
      </c>
      <c r="L69">
        <v>29</v>
      </c>
      <c r="M69">
        <v>422</v>
      </c>
      <c r="N69">
        <v>721</v>
      </c>
      <c r="O69">
        <v>347</v>
      </c>
      <c r="P69">
        <v>230</v>
      </c>
      <c r="Q69">
        <v>565</v>
      </c>
      <c r="R69">
        <v>243</v>
      </c>
      <c r="S69">
        <v>58</v>
      </c>
      <c r="T69">
        <v>272</v>
      </c>
      <c r="U69">
        <v>320</v>
      </c>
      <c r="V69">
        <v>274</v>
      </c>
      <c r="W69">
        <v>449</v>
      </c>
      <c r="X69">
        <v>566</v>
      </c>
      <c r="Y69">
        <v>445</v>
      </c>
      <c r="Z69">
        <v>127</v>
      </c>
      <c r="AA69">
        <v>301</v>
      </c>
      <c r="AB69">
        <v>48</v>
      </c>
      <c r="AC69">
        <v>394</v>
      </c>
      <c r="AD69">
        <v>397</v>
      </c>
      <c r="AE69">
        <v>75</v>
      </c>
      <c r="AF69">
        <v>160</v>
      </c>
      <c r="AG69">
        <v>325</v>
      </c>
      <c r="AH69">
        <v>241</v>
      </c>
      <c r="AI69">
        <v>83</v>
      </c>
      <c r="AJ69">
        <v>647</v>
      </c>
      <c r="AK69">
        <v>212</v>
      </c>
      <c r="AL69">
        <v>84</v>
      </c>
      <c r="AM69">
        <v>263</v>
      </c>
      <c r="AN69">
        <v>47</v>
      </c>
      <c r="AO69">
        <v>61</v>
      </c>
      <c r="AP69">
        <v>105</v>
      </c>
      <c r="AQ69">
        <v>352</v>
      </c>
      <c r="AR69">
        <v>201</v>
      </c>
      <c r="AS69">
        <v>508</v>
      </c>
      <c r="AT69">
        <v>122</v>
      </c>
      <c r="AU69">
        <v>34</v>
      </c>
      <c r="AV69">
        <v>350</v>
      </c>
      <c r="AW69">
        <v>245</v>
      </c>
      <c r="AX69">
        <v>380</v>
      </c>
      <c r="AY69">
        <v>332</v>
      </c>
      <c r="AZ69">
        <v>132</v>
      </c>
      <c r="BA69">
        <v>93</v>
      </c>
      <c r="BB69">
        <v>197</v>
      </c>
      <c r="BC69">
        <v>216</v>
      </c>
      <c r="BD69">
        <v>238</v>
      </c>
      <c r="BE69">
        <v>215</v>
      </c>
    </row>
    <row r="70" spans="1:57" s="4" customFormat="1" x14ac:dyDescent="0.25">
      <c r="A70"/>
      <c r="B70"/>
      <c r="C70"/>
      <c r="D70" s="2" t="s">
        <v>54</v>
      </c>
      <c r="E70" s="2" t="s">
        <v>64</v>
      </c>
      <c r="F70" s="4">
        <f>F62/$B62</f>
        <v>0.34375</v>
      </c>
      <c r="G70" s="4">
        <f t="shared" ref="G70:BE75" si="17">G62/$B62</f>
        <v>0.31730769230769229</v>
      </c>
      <c r="H70" s="4">
        <f t="shared" si="17"/>
        <v>0.24278846153846154</v>
      </c>
      <c r="I70" s="4">
        <f t="shared" si="17"/>
        <v>9.6153846153846159E-2</v>
      </c>
      <c r="J70" s="4">
        <f t="shared" si="17"/>
        <v>0.42307692307692307</v>
      </c>
      <c r="K70" s="4">
        <f t="shared" si="17"/>
        <v>0.5</v>
      </c>
      <c r="L70" s="4">
        <f t="shared" si="17"/>
        <v>7.6923076923076927E-2</v>
      </c>
      <c r="M70" s="4">
        <f t="shared" si="17"/>
        <v>0.47115384615384615</v>
      </c>
      <c r="N70" s="4">
        <f t="shared" si="17"/>
        <v>0.54326923076923073</v>
      </c>
      <c r="O70" s="4">
        <f t="shared" si="17"/>
        <v>0.17067307692307693</v>
      </c>
      <c r="P70" s="4">
        <f t="shared" si="17"/>
        <v>9.375E-2</v>
      </c>
      <c r="Q70" s="4">
        <f t="shared" si="17"/>
        <v>0.53125</v>
      </c>
      <c r="R70" s="4">
        <f t="shared" si="17"/>
        <v>0.36057692307692307</v>
      </c>
      <c r="S70" s="4">
        <f t="shared" si="17"/>
        <v>0.10817307692307693</v>
      </c>
      <c r="T70" s="4">
        <f t="shared" si="17"/>
        <v>0.45913461538461536</v>
      </c>
      <c r="U70" s="4">
        <f t="shared" si="17"/>
        <v>0.40625</v>
      </c>
      <c r="V70" s="4">
        <f t="shared" si="17"/>
        <v>0.13461538461538461</v>
      </c>
      <c r="W70" s="4">
        <f t="shared" si="17"/>
        <v>0.41346153846153844</v>
      </c>
      <c r="X70" s="4">
        <f t="shared" si="17"/>
        <v>0.52163461538461542</v>
      </c>
      <c r="Y70" s="4">
        <f t="shared" si="17"/>
        <v>0.19230769230769232</v>
      </c>
      <c r="Z70" s="4">
        <f t="shared" si="17"/>
        <v>6.25E-2</v>
      </c>
      <c r="AA70" s="4">
        <f t="shared" si="17"/>
        <v>0.125</v>
      </c>
      <c r="AB70" s="4">
        <f t="shared" si="17"/>
        <v>6.25E-2</v>
      </c>
      <c r="AC70" s="4">
        <f t="shared" si="17"/>
        <v>0.52403846153846156</v>
      </c>
      <c r="AD70" s="4">
        <f t="shared" si="17"/>
        <v>0.29086538461538464</v>
      </c>
      <c r="AE70" s="4">
        <f t="shared" si="17"/>
        <v>0.18509615384615385</v>
      </c>
      <c r="AF70" s="4">
        <f t="shared" si="17"/>
        <v>0.45913461538461536</v>
      </c>
      <c r="AG70" s="4">
        <f t="shared" si="17"/>
        <v>0.40865384615384615</v>
      </c>
      <c r="AH70" s="4">
        <f t="shared" si="17"/>
        <v>8.8942307692307696E-2</v>
      </c>
      <c r="AI70" s="4">
        <f t="shared" si="17"/>
        <v>1.9230769230769232E-2</v>
      </c>
      <c r="AJ70" s="4">
        <f t="shared" si="17"/>
        <v>0.50961538461538458</v>
      </c>
      <c r="AK70" s="4">
        <f t="shared" si="17"/>
        <v>0.14663461538461539</v>
      </c>
      <c r="AL70" s="4">
        <f t="shared" si="17"/>
        <v>8.6538461538461536E-2</v>
      </c>
      <c r="AM70" s="4">
        <f t="shared" si="17"/>
        <v>0.19711538461538461</v>
      </c>
      <c r="AN70" s="4">
        <f t="shared" si="17"/>
        <v>0.17307692307692307</v>
      </c>
      <c r="AO70" s="4">
        <f t="shared" si="17"/>
        <v>0.10096153846153846</v>
      </c>
      <c r="AP70" s="4">
        <f t="shared" si="17"/>
        <v>0.31490384615384615</v>
      </c>
      <c r="AQ70" s="4">
        <f t="shared" si="17"/>
        <v>0.42307692307692307</v>
      </c>
      <c r="AR70" s="4">
        <f t="shared" si="17"/>
        <v>0.15144230769230768</v>
      </c>
      <c r="AS70" s="4">
        <f t="shared" si="17"/>
        <v>0.20673076923076922</v>
      </c>
      <c r="AT70" s="4">
        <f t="shared" si="17"/>
        <v>7.4519230769230768E-2</v>
      </c>
      <c r="AU70" s="4">
        <f t="shared" si="17"/>
        <v>4.807692307692308E-2</v>
      </c>
      <c r="AV70" s="4">
        <f t="shared" si="17"/>
        <v>0.47115384615384615</v>
      </c>
      <c r="AW70" s="4">
        <f t="shared" si="17"/>
        <v>0.375</v>
      </c>
      <c r="AX70" s="4">
        <f t="shared" si="17"/>
        <v>0.19230769230769232</v>
      </c>
      <c r="AY70" s="4">
        <f t="shared" si="17"/>
        <v>0.18028846153846154</v>
      </c>
      <c r="AZ70" s="4">
        <f t="shared" si="17"/>
        <v>6.4903846153846159E-2</v>
      </c>
      <c r="BA70" s="4">
        <f t="shared" si="17"/>
        <v>7.6923076923076927E-2</v>
      </c>
      <c r="BB70" s="4">
        <f t="shared" si="17"/>
        <v>0.56009615384615385</v>
      </c>
      <c r="BC70" s="4">
        <f t="shared" si="17"/>
        <v>0.34375</v>
      </c>
      <c r="BD70" s="4">
        <f t="shared" si="17"/>
        <v>6.7307692307692304E-2</v>
      </c>
      <c r="BE70" s="4">
        <f t="shared" si="17"/>
        <v>2.8846153846153848E-2</v>
      </c>
    </row>
    <row r="71" spans="1:57" s="4" customFormat="1" x14ac:dyDescent="0.25">
      <c r="A71"/>
      <c r="B71"/>
      <c r="C71"/>
      <c r="D71"/>
      <c r="E71" s="2" t="s">
        <v>65</v>
      </c>
      <c r="F71" s="4">
        <f t="shared" ref="F71:U77" si="18">F63/$B63</f>
        <v>0.17507002801120447</v>
      </c>
      <c r="G71" s="4">
        <f t="shared" si="18"/>
        <v>0.52240896358543421</v>
      </c>
      <c r="H71" s="4">
        <f t="shared" si="18"/>
        <v>0.23949579831932774</v>
      </c>
      <c r="I71" s="4">
        <f t="shared" si="18"/>
        <v>6.3025210084033612E-2</v>
      </c>
      <c r="J71" s="4">
        <f t="shared" si="18"/>
        <v>0.32212885154061627</v>
      </c>
      <c r="K71" s="4">
        <f t="shared" si="18"/>
        <v>0.61344537815126055</v>
      </c>
      <c r="L71" s="4">
        <f t="shared" si="18"/>
        <v>6.4425770308123242E-2</v>
      </c>
      <c r="M71" s="4">
        <f t="shared" si="18"/>
        <v>0.35854341736694678</v>
      </c>
      <c r="N71" s="4">
        <f t="shared" si="18"/>
        <v>0.62745098039215685</v>
      </c>
      <c r="O71" s="4">
        <f t="shared" si="18"/>
        <v>0.40196078431372551</v>
      </c>
      <c r="P71" s="4">
        <f t="shared" si="18"/>
        <v>0.15126050420168066</v>
      </c>
      <c r="Q71" s="4">
        <f t="shared" si="18"/>
        <v>0.44397759103641454</v>
      </c>
      <c r="R71" s="4">
        <f t="shared" si="18"/>
        <v>0.45378151260504201</v>
      </c>
      <c r="S71" s="4">
        <f t="shared" si="18"/>
        <v>0.10224089635854341</v>
      </c>
      <c r="T71" s="4">
        <f t="shared" si="18"/>
        <v>0.28151260504201681</v>
      </c>
      <c r="U71" s="4">
        <f t="shared" si="18"/>
        <v>0.54201680672268904</v>
      </c>
      <c r="V71" s="4">
        <f t="shared" si="17"/>
        <v>0.17647058823529413</v>
      </c>
      <c r="W71" s="4">
        <f t="shared" si="17"/>
        <v>0.35994397759103641</v>
      </c>
      <c r="X71" s="4">
        <f t="shared" si="17"/>
        <v>0.60224089635854339</v>
      </c>
      <c r="Y71" s="4">
        <f t="shared" si="17"/>
        <v>0.44117647058823528</v>
      </c>
      <c r="Z71" s="4">
        <f t="shared" si="17"/>
        <v>0.1484593837535014</v>
      </c>
      <c r="AA71" s="4">
        <f t="shared" si="17"/>
        <v>0.20588235294117646</v>
      </c>
      <c r="AB71" s="4">
        <f t="shared" si="17"/>
        <v>4.2016806722689079E-2</v>
      </c>
      <c r="AC71" s="4">
        <f t="shared" si="17"/>
        <v>0.37114845938375352</v>
      </c>
      <c r="AD71" s="4">
        <f t="shared" si="17"/>
        <v>0.52380952380952384</v>
      </c>
      <c r="AE71" s="4">
        <f t="shared" si="17"/>
        <v>0.10364145658263306</v>
      </c>
      <c r="AF71" s="4">
        <f t="shared" si="17"/>
        <v>0.18487394957983194</v>
      </c>
      <c r="AG71" s="4">
        <f t="shared" si="17"/>
        <v>0.43137254901960786</v>
      </c>
      <c r="AH71" s="4">
        <f t="shared" si="17"/>
        <v>0.2857142857142857</v>
      </c>
      <c r="AI71" s="4">
        <f t="shared" si="17"/>
        <v>7.9831932773109238E-2</v>
      </c>
      <c r="AJ71" s="4">
        <f t="shared" si="17"/>
        <v>0.50280112044817926</v>
      </c>
      <c r="AK71" s="4">
        <f t="shared" si="17"/>
        <v>0.26750700280112044</v>
      </c>
      <c r="AL71" s="4">
        <f t="shared" si="17"/>
        <v>0.26330532212885155</v>
      </c>
      <c r="AM71" s="4">
        <f t="shared" si="17"/>
        <v>0.27731092436974791</v>
      </c>
      <c r="AN71" s="4">
        <f t="shared" si="17"/>
        <v>5.6022408963585436E-2</v>
      </c>
      <c r="AO71" s="4">
        <f t="shared" si="17"/>
        <v>5.182072829131653E-2</v>
      </c>
      <c r="AP71" s="4">
        <f t="shared" si="17"/>
        <v>0.14565826330532214</v>
      </c>
      <c r="AQ71" s="4">
        <f t="shared" si="17"/>
        <v>0.3949579831932773</v>
      </c>
      <c r="AR71" s="4">
        <f t="shared" si="17"/>
        <v>0.27731092436974791</v>
      </c>
      <c r="AS71" s="4">
        <f t="shared" si="17"/>
        <v>0.43977591036414565</v>
      </c>
      <c r="AT71" s="4">
        <f t="shared" si="17"/>
        <v>0.10784313725490197</v>
      </c>
      <c r="AU71" s="4">
        <f t="shared" si="17"/>
        <v>3.2212885154061621E-2</v>
      </c>
      <c r="AV71" s="4">
        <f t="shared" si="17"/>
        <v>0.33053221288515405</v>
      </c>
      <c r="AW71" s="4">
        <f t="shared" si="17"/>
        <v>0.37815126050420167</v>
      </c>
      <c r="AX71" s="4">
        <f t="shared" si="17"/>
        <v>0.37815126050420167</v>
      </c>
      <c r="AY71" s="4">
        <f t="shared" si="17"/>
        <v>0.28711484593837533</v>
      </c>
      <c r="AZ71" s="4">
        <f t="shared" si="17"/>
        <v>0.12044817927170869</v>
      </c>
      <c r="BA71" s="4">
        <f t="shared" si="17"/>
        <v>5.6022408963585436E-2</v>
      </c>
      <c r="BB71" s="4">
        <f t="shared" si="17"/>
        <v>0.26190476190476192</v>
      </c>
      <c r="BC71" s="4">
        <f t="shared" si="17"/>
        <v>0.42016806722689076</v>
      </c>
      <c r="BD71" s="4">
        <f t="shared" si="17"/>
        <v>0.23669467787114845</v>
      </c>
      <c r="BE71" s="4">
        <f t="shared" si="17"/>
        <v>8.1232492997198882E-2</v>
      </c>
    </row>
    <row r="72" spans="1:57" s="4" customFormat="1" x14ac:dyDescent="0.25">
      <c r="A72"/>
      <c r="B72"/>
      <c r="C72"/>
      <c r="D72"/>
      <c r="E72" s="2" t="s">
        <v>66</v>
      </c>
      <c r="F72" s="4">
        <f t="shared" si="18"/>
        <v>0.22750642673521851</v>
      </c>
      <c r="G72" s="4">
        <f t="shared" si="17"/>
        <v>0.49614395886889462</v>
      </c>
      <c r="H72" s="4">
        <f t="shared" si="17"/>
        <v>0.18251928020565553</v>
      </c>
      <c r="I72" s="4">
        <f t="shared" si="17"/>
        <v>9.383033419023136E-2</v>
      </c>
      <c r="J72" s="4">
        <f t="shared" si="17"/>
        <v>0.42802056555269924</v>
      </c>
      <c r="K72" s="4">
        <f t="shared" si="17"/>
        <v>0.49357326478149099</v>
      </c>
      <c r="L72" s="4">
        <f t="shared" si="17"/>
        <v>7.8406169665809766E-2</v>
      </c>
      <c r="M72" s="4">
        <f t="shared" si="17"/>
        <v>0.39588688946015427</v>
      </c>
      <c r="N72" s="4">
        <f t="shared" si="17"/>
        <v>0.73007712082262211</v>
      </c>
      <c r="O72" s="4">
        <f t="shared" si="17"/>
        <v>0.37532133676092544</v>
      </c>
      <c r="P72" s="4">
        <f t="shared" si="17"/>
        <v>0.21850899742930591</v>
      </c>
      <c r="Q72" s="4">
        <f t="shared" si="17"/>
        <v>0.5295629820051414</v>
      </c>
      <c r="R72" s="4">
        <f t="shared" si="17"/>
        <v>0.35732647814910024</v>
      </c>
      <c r="S72" s="4">
        <f t="shared" si="17"/>
        <v>0.11311053984575835</v>
      </c>
      <c r="T72" s="4">
        <f t="shared" si="17"/>
        <v>0.30077120822622105</v>
      </c>
      <c r="U72" s="4">
        <f t="shared" si="17"/>
        <v>0.46015424164524421</v>
      </c>
      <c r="V72" s="4">
        <f t="shared" si="17"/>
        <v>0.23907455012853471</v>
      </c>
      <c r="W72" s="4">
        <f t="shared" si="17"/>
        <v>0.43958868894601544</v>
      </c>
      <c r="X72" s="4">
        <f t="shared" si="17"/>
        <v>0.60411311053984573</v>
      </c>
      <c r="Y72" s="4">
        <f t="shared" si="17"/>
        <v>0.49871465295629819</v>
      </c>
      <c r="Z72" s="4">
        <f t="shared" si="17"/>
        <v>0.18123393316195371</v>
      </c>
      <c r="AA72" s="4">
        <f t="shared" si="17"/>
        <v>0.25578406169665807</v>
      </c>
      <c r="AB72" s="4">
        <f t="shared" si="17"/>
        <v>3.4704370179948589E-2</v>
      </c>
      <c r="AC72" s="4">
        <f t="shared" si="17"/>
        <v>0.37403598971722363</v>
      </c>
      <c r="AD72" s="4">
        <f t="shared" si="17"/>
        <v>0.52056555269922877</v>
      </c>
      <c r="AE72" s="4">
        <f t="shared" si="17"/>
        <v>0.10539845758354756</v>
      </c>
      <c r="AF72" s="4">
        <f t="shared" si="17"/>
        <v>0.12210796915167095</v>
      </c>
      <c r="AG72" s="4">
        <f t="shared" si="17"/>
        <v>0.36375321336760924</v>
      </c>
      <c r="AH72" s="4">
        <f t="shared" si="17"/>
        <v>0.34061696658097684</v>
      </c>
      <c r="AI72" s="4">
        <f t="shared" si="17"/>
        <v>0.15167095115681234</v>
      </c>
      <c r="AJ72" s="4">
        <f t="shared" si="17"/>
        <v>0.6478149100257069</v>
      </c>
      <c r="AK72" s="4">
        <f t="shared" si="17"/>
        <v>0.25578406169665807</v>
      </c>
      <c r="AL72" s="4">
        <f t="shared" si="17"/>
        <v>0.17994858611825193</v>
      </c>
      <c r="AM72" s="4">
        <f t="shared" si="17"/>
        <v>0.27763496143958871</v>
      </c>
      <c r="AN72" s="4">
        <f t="shared" si="17"/>
        <v>8.3547557840616973E-2</v>
      </c>
      <c r="AO72" s="4">
        <f t="shared" si="17"/>
        <v>3.9845758354755782E-2</v>
      </c>
      <c r="AP72" s="4">
        <f t="shared" si="17"/>
        <v>0.11568123393316196</v>
      </c>
      <c r="AQ72" s="4">
        <f t="shared" si="17"/>
        <v>0.40874035989717222</v>
      </c>
      <c r="AR72" s="4">
        <f t="shared" si="17"/>
        <v>0.2326478149100257</v>
      </c>
      <c r="AS72" s="4">
        <f t="shared" si="17"/>
        <v>0.54113110539845755</v>
      </c>
      <c r="AT72" s="4">
        <f t="shared" si="17"/>
        <v>0.13753213367609254</v>
      </c>
      <c r="AU72" s="4">
        <f t="shared" si="17"/>
        <v>3.3419023136246784E-2</v>
      </c>
      <c r="AV72" s="4">
        <f t="shared" si="17"/>
        <v>0.34447300771208228</v>
      </c>
      <c r="AW72" s="4">
        <f t="shared" si="17"/>
        <v>0.31362467866323906</v>
      </c>
      <c r="AX72" s="4">
        <f t="shared" si="17"/>
        <v>0.46015424164524421</v>
      </c>
      <c r="AY72" s="4">
        <f t="shared" si="17"/>
        <v>0.37275064267352187</v>
      </c>
      <c r="AZ72" s="4">
        <f t="shared" si="17"/>
        <v>0.16195372750642673</v>
      </c>
      <c r="BA72" s="4">
        <f t="shared" si="17"/>
        <v>5.6555269922879174E-2</v>
      </c>
      <c r="BB72" s="4">
        <f t="shared" si="17"/>
        <v>0.19280205655526991</v>
      </c>
      <c r="BC72" s="4">
        <f t="shared" si="17"/>
        <v>0.33676092544987146</v>
      </c>
      <c r="BD72" s="4">
        <f t="shared" si="17"/>
        <v>0.31748071979434445</v>
      </c>
      <c r="BE72" s="4">
        <f t="shared" si="17"/>
        <v>0.15295629820051415</v>
      </c>
    </row>
    <row r="73" spans="1:57" s="4" customFormat="1" x14ac:dyDescent="0.25">
      <c r="A73"/>
      <c r="B73"/>
      <c r="C73"/>
      <c r="D73"/>
      <c r="E73" s="2" t="s">
        <v>67</v>
      </c>
      <c r="F73" s="4">
        <f t="shared" si="18"/>
        <v>0.44894651539708263</v>
      </c>
      <c r="G73" s="4">
        <f t="shared" si="17"/>
        <v>0.37925445705024313</v>
      </c>
      <c r="H73" s="4">
        <f t="shared" si="17"/>
        <v>4.2139384116693678E-2</v>
      </c>
      <c r="I73" s="4">
        <f t="shared" si="17"/>
        <v>0.12965964343598055</v>
      </c>
      <c r="J73" s="4">
        <f t="shared" si="17"/>
        <v>0.67504051863857373</v>
      </c>
      <c r="K73" s="4">
        <f t="shared" si="17"/>
        <v>0.30064829821717992</v>
      </c>
      <c r="L73" s="4">
        <f t="shared" si="17"/>
        <v>2.4311183144246355E-2</v>
      </c>
      <c r="M73" s="4">
        <f t="shared" si="17"/>
        <v>0.47082658022690438</v>
      </c>
      <c r="N73" s="4">
        <f t="shared" si="17"/>
        <v>0.81766612641815239</v>
      </c>
      <c r="O73" s="4">
        <f t="shared" si="17"/>
        <v>0.38492706645056723</v>
      </c>
      <c r="P73" s="4">
        <f t="shared" si="17"/>
        <v>0.25040518638573744</v>
      </c>
      <c r="Q73" s="4">
        <f t="shared" si="17"/>
        <v>0.68476499189627227</v>
      </c>
      <c r="R73" s="4">
        <f t="shared" si="17"/>
        <v>0.26175040518638576</v>
      </c>
      <c r="S73" s="4">
        <f t="shared" si="17"/>
        <v>5.3484602917341979E-2</v>
      </c>
      <c r="T73" s="4">
        <f t="shared" si="17"/>
        <v>0.39059967585089139</v>
      </c>
      <c r="U73" s="4">
        <f t="shared" si="17"/>
        <v>0.36142625607779577</v>
      </c>
      <c r="V73" s="4">
        <f t="shared" si="17"/>
        <v>0.24797406807131281</v>
      </c>
      <c r="W73" s="4">
        <f t="shared" si="17"/>
        <v>0.6102106969205835</v>
      </c>
      <c r="X73" s="4">
        <f t="shared" si="17"/>
        <v>0.62074554294975692</v>
      </c>
      <c r="Y73" s="4">
        <f t="shared" si="17"/>
        <v>0.51944894651539708</v>
      </c>
      <c r="Z73" s="4">
        <f t="shared" si="17"/>
        <v>0.18800648298217179</v>
      </c>
      <c r="AA73" s="4">
        <f t="shared" si="17"/>
        <v>0.35980551053484605</v>
      </c>
      <c r="AB73" s="4">
        <f t="shared" si="17"/>
        <v>4.7001620745542948E-2</v>
      </c>
      <c r="AC73" s="4">
        <f t="shared" si="17"/>
        <v>0.54943273905996759</v>
      </c>
      <c r="AD73" s="4">
        <f t="shared" si="17"/>
        <v>0.37277147487844409</v>
      </c>
      <c r="AE73" s="4">
        <f t="shared" si="17"/>
        <v>7.7795786061588337E-2</v>
      </c>
      <c r="AF73" s="4">
        <f t="shared" si="17"/>
        <v>0.15802269043760131</v>
      </c>
      <c r="AG73" s="4">
        <f t="shared" si="17"/>
        <v>0.36142625607779577</v>
      </c>
      <c r="AH73" s="4">
        <f t="shared" si="17"/>
        <v>0.24554294975688817</v>
      </c>
      <c r="AI73" s="4">
        <f t="shared" si="17"/>
        <v>0.1507293354943274</v>
      </c>
      <c r="AJ73" s="4">
        <f t="shared" si="17"/>
        <v>0.80145867098865475</v>
      </c>
      <c r="AK73" s="4">
        <f t="shared" si="17"/>
        <v>0.21231766612641814</v>
      </c>
      <c r="AL73" s="4">
        <f t="shared" si="17"/>
        <v>0.13371150729335493</v>
      </c>
      <c r="AM73" s="4">
        <f t="shared" si="17"/>
        <v>0.35008103727714751</v>
      </c>
      <c r="AN73" s="4">
        <f t="shared" si="17"/>
        <v>5.1053484602917344E-2</v>
      </c>
      <c r="AO73" s="4">
        <f t="shared" si="17"/>
        <v>6.3209076175040513E-2</v>
      </c>
      <c r="AP73" s="4">
        <f t="shared" si="17"/>
        <v>0.1280388978930308</v>
      </c>
      <c r="AQ73" s="4">
        <f t="shared" si="17"/>
        <v>0.39222042139384117</v>
      </c>
      <c r="AR73" s="4">
        <f t="shared" si="17"/>
        <v>0.2179902755267423</v>
      </c>
      <c r="AS73" s="4">
        <f t="shared" si="17"/>
        <v>0.64181523500810378</v>
      </c>
      <c r="AT73" s="4">
        <f t="shared" si="17"/>
        <v>0.18395461912479741</v>
      </c>
      <c r="AU73" s="4">
        <f t="shared" si="17"/>
        <v>2.9983792544570502E-2</v>
      </c>
      <c r="AV73" s="4">
        <f t="shared" si="17"/>
        <v>0.45299837925445707</v>
      </c>
      <c r="AW73" s="4">
        <f t="shared" si="17"/>
        <v>0.27552674230145868</v>
      </c>
      <c r="AX73" s="4">
        <f t="shared" si="17"/>
        <v>0.44975688816855752</v>
      </c>
      <c r="AY73" s="4">
        <f t="shared" si="17"/>
        <v>0.40923824959481364</v>
      </c>
      <c r="AZ73" s="4">
        <f t="shared" si="17"/>
        <v>0.17423014586709887</v>
      </c>
      <c r="BA73" s="4">
        <f t="shared" si="17"/>
        <v>6.40194489465154E-2</v>
      </c>
      <c r="BB73" s="4">
        <f t="shared" si="17"/>
        <v>0.20907617504051865</v>
      </c>
      <c r="BC73" s="4">
        <f t="shared" si="17"/>
        <v>0.22204213938411668</v>
      </c>
      <c r="BD73" s="4">
        <f t="shared" si="17"/>
        <v>0.27633711507293357</v>
      </c>
      <c r="BE73" s="4">
        <f t="shared" si="17"/>
        <v>0.2925445705024311</v>
      </c>
    </row>
    <row r="74" spans="1:57" s="4" customFormat="1" x14ac:dyDescent="0.25">
      <c r="A74"/>
      <c r="B74"/>
      <c r="C74"/>
      <c r="D74" s="2" t="s">
        <v>55</v>
      </c>
      <c r="E74" s="2" t="s">
        <v>64</v>
      </c>
      <c r="F74" s="4">
        <f t="shared" si="18"/>
        <v>0.18260869565217391</v>
      </c>
      <c r="G74" s="4">
        <f t="shared" si="17"/>
        <v>0.30434782608695654</v>
      </c>
      <c r="H74" s="4">
        <f t="shared" si="17"/>
        <v>0.37391304347826088</v>
      </c>
      <c r="I74" s="4">
        <f t="shared" si="17"/>
        <v>0.1391304347826087</v>
      </c>
      <c r="J74" s="4">
        <f t="shared" si="17"/>
        <v>0.33043478260869563</v>
      </c>
      <c r="K74" s="4">
        <f t="shared" si="17"/>
        <v>0.5347826086956522</v>
      </c>
      <c r="L74" s="4">
        <f t="shared" si="17"/>
        <v>0.13478260869565217</v>
      </c>
      <c r="M74" s="4">
        <f t="shared" si="17"/>
        <v>0.40869565217391307</v>
      </c>
      <c r="N74" s="4">
        <f t="shared" si="17"/>
        <v>0.59565217391304348</v>
      </c>
      <c r="O74" s="4">
        <f t="shared" si="17"/>
        <v>0.29565217391304349</v>
      </c>
      <c r="P74" s="4">
        <f t="shared" si="17"/>
        <v>0.1391304347826087</v>
      </c>
      <c r="Q74" s="4">
        <f t="shared" si="17"/>
        <v>0.5</v>
      </c>
      <c r="R74" s="4">
        <f t="shared" si="17"/>
        <v>0.39130434782608697</v>
      </c>
      <c r="S74" s="4">
        <f t="shared" si="17"/>
        <v>0.10869565217391304</v>
      </c>
      <c r="T74" s="4">
        <f t="shared" si="17"/>
        <v>0.4652173913043478</v>
      </c>
      <c r="U74" s="4">
        <f t="shared" si="17"/>
        <v>0.35652173913043478</v>
      </c>
      <c r="V74" s="4">
        <f t="shared" si="17"/>
        <v>0.17826086956521739</v>
      </c>
      <c r="W74" s="4">
        <f t="shared" si="17"/>
        <v>0.37826086956521737</v>
      </c>
      <c r="X74" s="4">
        <f t="shared" si="17"/>
        <v>0.55652173913043479</v>
      </c>
      <c r="Y74" s="4">
        <f t="shared" si="17"/>
        <v>0.26956521739130435</v>
      </c>
      <c r="Z74" s="4">
        <f t="shared" si="17"/>
        <v>0.13043478260869565</v>
      </c>
      <c r="AA74" s="4">
        <f t="shared" si="17"/>
        <v>0.16956521739130434</v>
      </c>
      <c r="AB74" s="4">
        <f t="shared" si="17"/>
        <v>6.0869565217391307E-2</v>
      </c>
      <c r="AC74" s="4">
        <f t="shared" si="17"/>
        <v>0.30434782608695654</v>
      </c>
      <c r="AD74" s="4">
        <f t="shared" si="17"/>
        <v>0.45652173913043476</v>
      </c>
      <c r="AE74" s="4">
        <f t="shared" si="17"/>
        <v>0.2391304347826087</v>
      </c>
      <c r="AF74" s="4">
        <f t="shared" si="17"/>
        <v>0.42608695652173911</v>
      </c>
      <c r="AG74" s="4">
        <f t="shared" si="17"/>
        <v>0.37826086956521737</v>
      </c>
      <c r="AH74" s="4">
        <f t="shared" si="17"/>
        <v>0.14347826086956522</v>
      </c>
      <c r="AI74" s="4">
        <f t="shared" si="17"/>
        <v>3.9130434782608699E-2</v>
      </c>
      <c r="AJ74" s="4">
        <f t="shared" si="17"/>
        <v>0.61304347826086958</v>
      </c>
      <c r="AK74" s="4">
        <f t="shared" si="17"/>
        <v>0.15217391304347827</v>
      </c>
      <c r="AL74" s="4">
        <f t="shared" si="17"/>
        <v>0.11739130434782609</v>
      </c>
      <c r="AM74" s="4">
        <f t="shared" si="17"/>
        <v>0.20869565217391303</v>
      </c>
      <c r="AN74" s="4">
        <f t="shared" si="17"/>
        <v>3.9130434782608699E-2</v>
      </c>
      <c r="AO74" s="4">
        <f t="shared" si="17"/>
        <v>0.14782608695652175</v>
      </c>
      <c r="AP74" s="4">
        <f t="shared" si="17"/>
        <v>0.32608695652173914</v>
      </c>
      <c r="AQ74" s="4">
        <f t="shared" si="17"/>
        <v>0.33478260869565218</v>
      </c>
      <c r="AR74" s="4">
        <f t="shared" si="17"/>
        <v>0.18260869565217391</v>
      </c>
      <c r="AS74" s="4">
        <f t="shared" si="17"/>
        <v>0.27391304347826084</v>
      </c>
      <c r="AT74" s="4">
        <f t="shared" si="17"/>
        <v>0.10434782608695652</v>
      </c>
      <c r="AU74" s="4">
        <f t="shared" si="17"/>
        <v>4.7826086956521741E-2</v>
      </c>
      <c r="AV74" s="4">
        <f t="shared" si="17"/>
        <v>0.39130434782608697</v>
      </c>
      <c r="AW74" s="4">
        <f t="shared" si="17"/>
        <v>0.26956521739130435</v>
      </c>
      <c r="AX74" s="4">
        <f t="shared" si="17"/>
        <v>0.34347826086956523</v>
      </c>
      <c r="AY74" s="4">
        <f t="shared" si="17"/>
        <v>0.25217391304347825</v>
      </c>
      <c r="AZ74" s="4">
        <f t="shared" si="17"/>
        <v>0.12173913043478261</v>
      </c>
      <c r="BA74" s="4">
        <f t="shared" si="17"/>
        <v>9.5652173913043481E-2</v>
      </c>
      <c r="BB74" s="4">
        <f t="shared" si="17"/>
        <v>0.52608695652173909</v>
      </c>
      <c r="BC74" s="4">
        <f t="shared" si="17"/>
        <v>0.3</v>
      </c>
      <c r="BD74" s="4">
        <f t="shared" si="17"/>
        <v>0.11739130434782609</v>
      </c>
      <c r="BE74" s="4">
        <f t="shared" si="17"/>
        <v>5.6521739130434782E-2</v>
      </c>
    </row>
    <row r="75" spans="1:57" s="4" customFormat="1" x14ac:dyDescent="0.25">
      <c r="A75"/>
      <c r="B75"/>
      <c r="C75"/>
      <c r="D75" s="2"/>
      <c r="E75" s="2" t="s">
        <v>65</v>
      </c>
      <c r="F75" s="4">
        <f t="shared" si="18"/>
        <v>0.116751269035533</v>
      </c>
      <c r="G75" s="4">
        <f t="shared" si="17"/>
        <v>0.57360406091370564</v>
      </c>
      <c r="H75" s="4">
        <f t="shared" si="17"/>
        <v>0.23011844331641285</v>
      </c>
      <c r="I75" s="4">
        <f t="shared" si="17"/>
        <v>7.952622673434856E-2</v>
      </c>
      <c r="J75" s="4">
        <f t="shared" si="17"/>
        <v>0.33164128595600678</v>
      </c>
      <c r="K75" s="4">
        <f t="shared" si="17"/>
        <v>0.59729272419627755</v>
      </c>
      <c r="L75" s="4">
        <f t="shared" si="17"/>
        <v>7.1065989847715741E-2</v>
      </c>
      <c r="M75" s="4">
        <f t="shared" si="17"/>
        <v>0.38917089678510997</v>
      </c>
      <c r="N75" s="4">
        <f t="shared" si="17"/>
        <v>0.75465313028764802</v>
      </c>
      <c r="O75" s="4">
        <f t="shared" si="17"/>
        <v>0.37563451776649748</v>
      </c>
      <c r="P75" s="4">
        <f t="shared" si="17"/>
        <v>0.19289340101522842</v>
      </c>
      <c r="Q75" s="4">
        <f t="shared" si="17"/>
        <v>0.47715736040609136</v>
      </c>
      <c r="R75" s="4">
        <f t="shared" si="17"/>
        <v>0.43824027072758037</v>
      </c>
      <c r="S75" s="4">
        <f t="shared" si="17"/>
        <v>8.4602368866328256E-2</v>
      </c>
      <c r="T75" s="4">
        <f t="shared" si="17"/>
        <v>0.27580372250423013</v>
      </c>
      <c r="U75" s="4">
        <f t="shared" si="17"/>
        <v>0.51269035532994922</v>
      </c>
      <c r="V75" s="4">
        <f t="shared" ref="G75:BE77" si="19">V67/$B67</f>
        <v>0.21150592216582065</v>
      </c>
      <c r="W75" s="4">
        <f t="shared" si="19"/>
        <v>0.34348561759729274</v>
      </c>
      <c r="X75" s="4">
        <f t="shared" si="19"/>
        <v>0.67851099830795258</v>
      </c>
      <c r="Y75" s="4">
        <f t="shared" si="19"/>
        <v>0.40778341793570222</v>
      </c>
      <c r="Z75" s="4">
        <f t="shared" si="19"/>
        <v>0.14382402707275804</v>
      </c>
      <c r="AA75" s="4">
        <f t="shared" si="19"/>
        <v>0.26057529610829105</v>
      </c>
      <c r="AB75" s="4">
        <f t="shared" si="19"/>
        <v>3.3840947546531303E-2</v>
      </c>
      <c r="AC75" s="4">
        <f t="shared" si="19"/>
        <v>0.32487309644670048</v>
      </c>
      <c r="AD75" s="4">
        <f t="shared" si="19"/>
        <v>0.57360406091370564</v>
      </c>
      <c r="AE75" s="4">
        <f t="shared" si="19"/>
        <v>9.9830795262267347E-2</v>
      </c>
      <c r="AF75" s="4">
        <f t="shared" si="19"/>
        <v>0.20304568527918782</v>
      </c>
      <c r="AG75" s="4">
        <f t="shared" si="19"/>
        <v>0.4653130287648054</v>
      </c>
      <c r="AH75" s="4">
        <f t="shared" si="19"/>
        <v>0.25549915397631134</v>
      </c>
      <c r="AI75" s="4">
        <f t="shared" si="19"/>
        <v>6.2605752961082908E-2</v>
      </c>
      <c r="AJ75" s="4">
        <f t="shared" si="19"/>
        <v>0.62436548223350252</v>
      </c>
      <c r="AK75" s="4">
        <f t="shared" si="19"/>
        <v>0.24873096446700507</v>
      </c>
      <c r="AL75" s="4">
        <f t="shared" si="19"/>
        <v>0.18104906937394247</v>
      </c>
      <c r="AM75" s="4">
        <f t="shared" si="19"/>
        <v>0.30456852791878175</v>
      </c>
      <c r="AN75" s="4">
        <f t="shared" si="19"/>
        <v>4.7377326565143825E-2</v>
      </c>
      <c r="AO75" s="4">
        <f t="shared" si="19"/>
        <v>7.2758037225042302E-2</v>
      </c>
      <c r="AP75" s="4">
        <f t="shared" si="19"/>
        <v>0.14213197969543148</v>
      </c>
      <c r="AQ75" s="4">
        <f t="shared" si="19"/>
        <v>0.39593908629441626</v>
      </c>
      <c r="AR75" s="4">
        <f t="shared" si="19"/>
        <v>0.25042301184433163</v>
      </c>
      <c r="AS75" s="4">
        <f t="shared" si="19"/>
        <v>0.48392554991539766</v>
      </c>
      <c r="AT75" s="4">
        <f t="shared" si="19"/>
        <v>0.13874788494077833</v>
      </c>
      <c r="AU75" s="4">
        <f t="shared" si="19"/>
        <v>3.8917089678510999E-2</v>
      </c>
      <c r="AV75" s="4">
        <f t="shared" si="19"/>
        <v>0.3604060913705584</v>
      </c>
      <c r="AW75" s="4">
        <f t="shared" si="19"/>
        <v>0.36717428087986465</v>
      </c>
      <c r="AX75" s="4">
        <f t="shared" si="19"/>
        <v>0.43485617597292725</v>
      </c>
      <c r="AY75" s="4">
        <f t="shared" si="19"/>
        <v>0.3350253807106599</v>
      </c>
      <c r="AZ75" s="4">
        <f t="shared" si="19"/>
        <v>0.12013536379018612</v>
      </c>
      <c r="BA75" s="4">
        <f t="shared" si="19"/>
        <v>5.9221658206429779E-2</v>
      </c>
      <c r="BB75" s="4">
        <f t="shared" si="19"/>
        <v>0.27749576988155666</v>
      </c>
      <c r="BC75" s="4">
        <f t="shared" si="19"/>
        <v>0.39255499153976309</v>
      </c>
      <c r="BD75" s="4">
        <f t="shared" si="19"/>
        <v>0.2859560067681895</v>
      </c>
      <c r="BE75" s="4">
        <f t="shared" si="19"/>
        <v>4.3993231810490696E-2</v>
      </c>
    </row>
    <row r="76" spans="1:57" s="4" customFormat="1" x14ac:dyDescent="0.25">
      <c r="A76"/>
      <c r="B76"/>
      <c r="C76"/>
      <c r="D76"/>
      <c r="E76" s="2" t="s">
        <v>66</v>
      </c>
      <c r="F76" s="4">
        <f t="shared" si="18"/>
        <v>0.16216216216216217</v>
      </c>
      <c r="G76" s="4">
        <f t="shared" si="19"/>
        <v>0.53378378378378377</v>
      </c>
      <c r="H76" s="4">
        <f t="shared" si="19"/>
        <v>0.19594594594594594</v>
      </c>
      <c r="I76" s="4">
        <f t="shared" si="19"/>
        <v>0.10810810810810811</v>
      </c>
      <c r="J76" s="4">
        <f t="shared" si="19"/>
        <v>0.40709459459459457</v>
      </c>
      <c r="K76" s="4">
        <f t="shared" si="19"/>
        <v>0.52195945945945943</v>
      </c>
      <c r="L76" s="4">
        <f t="shared" si="19"/>
        <v>7.0945945945945943E-2</v>
      </c>
      <c r="M76" s="4">
        <f t="shared" si="19"/>
        <v>0.40202702702702703</v>
      </c>
      <c r="N76" s="4">
        <f t="shared" si="19"/>
        <v>0.76858108108108103</v>
      </c>
      <c r="O76" s="4">
        <f t="shared" si="19"/>
        <v>0.38513513513513514</v>
      </c>
      <c r="P76" s="4">
        <f t="shared" si="19"/>
        <v>0.22297297297297297</v>
      </c>
      <c r="Q76" s="4">
        <f t="shared" si="19"/>
        <v>0.53040540540540537</v>
      </c>
      <c r="R76" s="4">
        <f t="shared" si="19"/>
        <v>0.3716216216216216</v>
      </c>
      <c r="S76" s="4">
        <f t="shared" si="19"/>
        <v>9.7972972972972971E-2</v>
      </c>
      <c r="T76" s="4">
        <f t="shared" si="19"/>
        <v>0.30067567567567566</v>
      </c>
      <c r="U76" s="4">
        <f t="shared" si="19"/>
        <v>0.50168918918918914</v>
      </c>
      <c r="V76" s="4">
        <f t="shared" si="19"/>
        <v>0.19763513513513514</v>
      </c>
      <c r="W76" s="4">
        <f t="shared" si="19"/>
        <v>0.4408783783783784</v>
      </c>
      <c r="X76" s="4">
        <f t="shared" si="19"/>
        <v>0.64020270270270274</v>
      </c>
      <c r="Y76" s="4">
        <f t="shared" si="19"/>
        <v>0.47635135135135137</v>
      </c>
      <c r="Z76" s="4">
        <f t="shared" si="19"/>
        <v>0.14358108108108109</v>
      </c>
      <c r="AA76" s="4">
        <f t="shared" si="19"/>
        <v>0.29560810810810811</v>
      </c>
      <c r="AB76" s="4">
        <f t="shared" si="19"/>
        <v>3.5472972972972971E-2</v>
      </c>
      <c r="AC76" s="4">
        <f t="shared" si="19"/>
        <v>0.32770270270270269</v>
      </c>
      <c r="AD76" s="4">
        <f t="shared" si="19"/>
        <v>0.55067567567567566</v>
      </c>
      <c r="AE76" s="4">
        <f t="shared" si="19"/>
        <v>0.12162162162162163</v>
      </c>
      <c r="AF76" s="4">
        <f t="shared" si="19"/>
        <v>0.18074324324324326</v>
      </c>
      <c r="AG76" s="4">
        <f t="shared" si="19"/>
        <v>0.36148648648648651</v>
      </c>
      <c r="AH76" s="4">
        <f t="shared" si="19"/>
        <v>0.31756756756756754</v>
      </c>
      <c r="AI76" s="4">
        <f t="shared" si="19"/>
        <v>0.11824324324324324</v>
      </c>
      <c r="AJ76" s="4">
        <f t="shared" si="19"/>
        <v>0.6875</v>
      </c>
      <c r="AK76" s="4">
        <f t="shared" si="19"/>
        <v>0.23310810810810811</v>
      </c>
      <c r="AL76" s="4">
        <f t="shared" si="19"/>
        <v>0.15878378378378377</v>
      </c>
      <c r="AM76" s="4">
        <f t="shared" si="19"/>
        <v>0.3091216216216216</v>
      </c>
      <c r="AN76" s="4">
        <f t="shared" si="19"/>
        <v>4.8986486486486486E-2</v>
      </c>
      <c r="AO76" s="4">
        <f t="shared" si="19"/>
        <v>5.5743243243243243E-2</v>
      </c>
      <c r="AP76" s="4">
        <f t="shared" si="19"/>
        <v>0.11486486486486487</v>
      </c>
      <c r="AQ76" s="4">
        <f t="shared" si="19"/>
        <v>0.40709459459459457</v>
      </c>
      <c r="AR76" s="4">
        <f t="shared" si="19"/>
        <v>0.25675675675675674</v>
      </c>
      <c r="AS76" s="4">
        <f t="shared" si="19"/>
        <v>0.54222972972972971</v>
      </c>
      <c r="AT76" s="4">
        <f t="shared" si="19"/>
        <v>0.15033783783783783</v>
      </c>
      <c r="AU76" s="4">
        <f t="shared" si="19"/>
        <v>2.0270270270270271E-2</v>
      </c>
      <c r="AV76" s="4">
        <f t="shared" si="19"/>
        <v>0.34459459459459457</v>
      </c>
      <c r="AW76" s="4">
        <f t="shared" si="19"/>
        <v>0.33445945945945948</v>
      </c>
      <c r="AX76" s="4">
        <f t="shared" si="19"/>
        <v>0.47972972972972971</v>
      </c>
      <c r="AY76" s="4">
        <f t="shared" si="19"/>
        <v>0.35304054054054052</v>
      </c>
      <c r="AZ76" s="4">
        <f t="shared" si="19"/>
        <v>0.14695945945945946</v>
      </c>
      <c r="BA76" s="4">
        <f t="shared" si="19"/>
        <v>6.0810810810810814E-2</v>
      </c>
      <c r="BB76" s="4">
        <f t="shared" si="19"/>
        <v>0.21621621621621623</v>
      </c>
      <c r="BC76" s="4">
        <f t="shared" si="19"/>
        <v>0.34797297297297297</v>
      </c>
      <c r="BD76" s="4">
        <f t="shared" si="19"/>
        <v>0.32432432432432434</v>
      </c>
      <c r="BE76" s="4">
        <f t="shared" si="19"/>
        <v>0.11148648648648649</v>
      </c>
    </row>
    <row r="77" spans="1:57" s="4" customFormat="1" x14ac:dyDescent="0.25">
      <c r="A77"/>
      <c r="B77"/>
      <c r="C77"/>
      <c r="D77"/>
      <c r="E77" s="2" t="s">
        <v>67</v>
      </c>
      <c r="F77" s="4">
        <f t="shared" si="18"/>
        <v>0.28406466512702078</v>
      </c>
      <c r="G77" s="4">
        <f t="shared" si="19"/>
        <v>0.44803695150115475</v>
      </c>
      <c r="H77" s="4">
        <f t="shared" si="19"/>
        <v>7.9676674364896075E-2</v>
      </c>
      <c r="I77" s="4">
        <f t="shared" si="19"/>
        <v>0.18822170900692842</v>
      </c>
      <c r="J77" s="4">
        <f t="shared" si="19"/>
        <v>0.62009237875288681</v>
      </c>
      <c r="K77" s="4">
        <f t="shared" si="19"/>
        <v>0.3464203233256351</v>
      </c>
      <c r="L77" s="4">
        <f t="shared" si="19"/>
        <v>3.348729792147806E-2</v>
      </c>
      <c r="M77" s="4">
        <f t="shared" si="19"/>
        <v>0.48729792147806006</v>
      </c>
      <c r="N77" s="4">
        <f t="shared" si="19"/>
        <v>0.83256351039260967</v>
      </c>
      <c r="O77" s="4">
        <f t="shared" si="19"/>
        <v>0.40069284064665128</v>
      </c>
      <c r="P77" s="4">
        <f t="shared" si="19"/>
        <v>0.26558891454965355</v>
      </c>
      <c r="Q77" s="4">
        <f t="shared" si="19"/>
        <v>0.65242494226327941</v>
      </c>
      <c r="R77" s="4">
        <f t="shared" si="19"/>
        <v>0.28060046189376442</v>
      </c>
      <c r="S77" s="4">
        <f t="shared" si="19"/>
        <v>6.6974595842956119E-2</v>
      </c>
      <c r="T77" s="4">
        <f t="shared" si="19"/>
        <v>0.31408775981524251</v>
      </c>
      <c r="U77" s="4">
        <f t="shared" si="19"/>
        <v>0.36951501154734412</v>
      </c>
      <c r="V77" s="4">
        <f t="shared" si="19"/>
        <v>0.31639722863741337</v>
      </c>
      <c r="W77" s="4">
        <f t="shared" si="19"/>
        <v>0.51847575057736717</v>
      </c>
      <c r="X77" s="4">
        <f t="shared" si="19"/>
        <v>0.6535796766743649</v>
      </c>
      <c r="Y77" s="4">
        <f t="shared" si="19"/>
        <v>0.51385681293302543</v>
      </c>
      <c r="Z77" s="4">
        <f t="shared" si="19"/>
        <v>0.14665127020785218</v>
      </c>
      <c r="AA77" s="4">
        <f t="shared" si="19"/>
        <v>0.34757505773672054</v>
      </c>
      <c r="AB77" s="4">
        <f t="shared" si="19"/>
        <v>5.5427251732101619E-2</v>
      </c>
      <c r="AC77" s="4">
        <f t="shared" si="19"/>
        <v>0.45496535796766746</v>
      </c>
      <c r="AD77" s="4">
        <f t="shared" si="19"/>
        <v>0.45842956120092376</v>
      </c>
      <c r="AE77" s="4">
        <f t="shared" si="19"/>
        <v>8.6605080831408776E-2</v>
      </c>
      <c r="AF77" s="4">
        <f t="shared" si="19"/>
        <v>0.18475750577367206</v>
      </c>
      <c r="AG77" s="4">
        <f t="shared" si="19"/>
        <v>0.37528868360277134</v>
      </c>
      <c r="AH77" s="4">
        <f t="shared" si="19"/>
        <v>0.27829099307159355</v>
      </c>
      <c r="AI77" s="4">
        <f t="shared" si="19"/>
        <v>9.5842956120092374E-2</v>
      </c>
      <c r="AJ77" s="4">
        <f t="shared" si="19"/>
        <v>0.74711316397228633</v>
      </c>
      <c r="AK77" s="4">
        <f t="shared" si="19"/>
        <v>0.24480369515011546</v>
      </c>
      <c r="AL77" s="4">
        <f t="shared" si="19"/>
        <v>9.6997690531177835E-2</v>
      </c>
      <c r="AM77" s="4">
        <f t="shared" si="19"/>
        <v>0.30369515011547343</v>
      </c>
      <c r="AN77" s="4">
        <f t="shared" si="19"/>
        <v>5.4272517321016164E-2</v>
      </c>
      <c r="AO77" s="4">
        <f t="shared" si="19"/>
        <v>7.0438799076212477E-2</v>
      </c>
      <c r="AP77" s="4">
        <f t="shared" si="19"/>
        <v>0.12124711316397228</v>
      </c>
      <c r="AQ77" s="4">
        <f t="shared" si="19"/>
        <v>0.40646651270207851</v>
      </c>
      <c r="AR77" s="4">
        <f t="shared" si="19"/>
        <v>0.23210161662817552</v>
      </c>
      <c r="AS77" s="4">
        <f t="shared" si="19"/>
        <v>0.58660508083140872</v>
      </c>
      <c r="AT77" s="4">
        <f t="shared" si="19"/>
        <v>0.14087759815242495</v>
      </c>
      <c r="AU77" s="4">
        <f t="shared" si="19"/>
        <v>3.9260969976905313E-2</v>
      </c>
      <c r="AV77" s="4">
        <f t="shared" si="19"/>
        <v>0.40415704387990764</v>
      </c>
      <c r="AW77" s="4">
        <f t="shared" si="19"/>
        <v>0.28290993071593534</v>
      </c>
      <c r="AX77" s="4">
        <f t="shared" si="19"/>
        <v>0.43879907621247111</v>
      </c>
      <c r="AY77" s="4">
        <f t="shared" si="19"/>
        <v>0.38337182448036949</v>
      </c>
      <c r="AZ77" s="4">
        <f t="shared" si="19"/>
        <v>0.15242494226327943</v>
      </c>
      <c r="BA77" s="4">
        <f t="shared" si="19"/>
        <v>0.10739030023094688</v>
      </c>
      <c r="BB77" s="4">
        <f t="shared" si="19"/>
        <v>0.22748267898383373</v>
      </c>
      <c r="BC77" s="4">
        <f t="shared" si="19"/>
        <v>0.24942263279445728</v>
      </c>
      <c r="BD77" s="4">
        <f t="shared" si="19"/>
        <v>0.27482678983833719</v>
      </c>
      <c r="BE77" s="4">
        <f t="shared" si="19"/>
        <v>0.24826789838337182</v>
      </c>
    </row>
    <row r="79" spans="1:57" ht="211.95" customHeight="1" x14ac:dyDescent="0.25"/>
  </sheetData>
  <mergeCells count="12">
    <mergeCell ref="BB1:BE1"/>
    <mergeCell ref="F1:I1"/>
    <mergeCell ref="J1:L1"/>
    <mergeCell ref="M1:P1"/>
    <mergeCell ref="Q1:S1"/>
    <mergeCell ref="T1:V1"/>
    <mergeCell ref="W1:AB1"/>
    <mergeCell ref="AC1:AE1"/>
    <mergeCell ref="AF1:AI1"/>
    <mergeCell ref="AJ1:AO1"/>
    <mergeCell ref="AP1:AU1"/>
    <mergeCell ref="AV1:BA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7.统计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Yuming Li</dc:creator>
  <cp:lastModifiedBy>丁凯琳</cp:lastModifiedBy>
  <dcterms:created xsi:type="dcterms:W3CDTF">2025-01-02T08:38:00Z</dcterms:created>
  <dcterms:modified xsi:type="dcterms:W3CDTF">2025-02-13T02:08:50Z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0FCB2204616A4E74941F6F2170D12B45_11</vt:lpwstr>
  </property>
  <property fmtid="{D5CDD505-2E9C-101B-9397-08002B2CF9AE}" pid="3" name="KSOProductBuildVer">
    <vt:lpwstr>2052-12.1.0.19770</vt:lpwstr>
  </property>
  <property fmtid="{D5CDD505-2E9C-101B-9397-08002B2CF9AE}" pid="4" name="EM_Doc_Temp_ID">
    <vt:lpwstr>F014379C-8BE6-49E6-869A-016347585A9B</vt:lpwstr>
  </property>
</Properties>
</file>